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B7FE6334-C1A2-E50D-BD3D-5F4D41BBC2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dgar\Desktop\AEP_Continental\Practica lin\"/>
    </mc:Choice>
  </mc:AlternateContent>
  <bookViews>
    <workbookView xWindow="0" yWindow="30" windowWidth="28755" windowHeight="12840" tabRatio="564" activeTab="5"/>
  </bookViews>
  <sheets>
    <sheet name="Cover" sheetId="12" r:id="rId1"/>
    <sheet name="Nodes" sheetId="11" r:id="rId2"/>
    <sheet name="Msg Definitions" sheetId="1" r:id="rId3"/>
    <sheet name="Signal_types" sheetId="8" r:id="rId4"/>
    <sheet name="Signals" sheetId="4" r:id="rId5"/>
    <sheet name="Scheduling Tbl" sheetId="9" r:id="rId6"/>
    <sheet name="Setup" sheetId="6" r:id="rId7"/>
    <sheet name="Utilities" sheetId="13" r:id="rId8"/>
  </sheets>
  <calcPr calcId="152511"/>
</workbook>
</file>

<file path=xl/calcChain.xml><?xml version="1.0" encoding="utf-8"?>
<calcChain xmlns="http://schemas.openxmlformats.org/spreadsheetml/2006/main">
  <c r="C7" i="13" l="1"/>
  <c r="F7" i="13" s="1"/>
  <c r="C9" i="13"/>
  <c r="C11" i="13"/>
  <c r="C8" i="13"/>
  <c r="G7" i="13" l="1"/>
  <c r="D7" i="13"/>
  <c r="E7" i="13"/>
  <c r="H7" i="13" l="1"/>
  <c r="I7" i="13" s="1"/>
  <c r="J7" i="13" s="1"/>
</calcChain>
</file>

<file path=xl/sharedStrings.xml><?xml version="1.0" encoding="utf-8"?>
<sst xmlns="http://schemas.openxmlformats.org/spreadsheetml/2006/main" count="432" uniqueCount="210">
  <si>
    <t>Msg ID</t>
  </si>
  <si>
    <t>Signal Name</t>
  </si>
  <si>
    <t>Signal Msg</t>
  </si>
  <si>
    <t>Signal Endianess</t>
  </si>
  <si>
    <t>Single</t>
  </si>
  <si>
    <t>Signal Start Byte</t>
  </si>
  <si>
    <t>Signal Start Bit</t>
  </si>
  <si>
    <t>Msg Callback</t>
  </si>
  <si>
    <t>2</t>
  </si>
  <si>
    <t>No</t>
  </si>
  <si>
    <t>Yes</t>
  </si>
  <si>
    <t>20</t>
  </si>
  <si>
    <t>auto</t>
  </si>
  <si>
    <t>Msg Name</t>
  </si>
  <si>
    <t>Slaves</t>
  </si>
  <si>
    <t>SLAVE1</t>
  </si>
  <si>
    <t>SLAVE2</t>
  </si>
  <si>
    <t>SLAVE3</t>
  </si>
  <si>
    <t>SLAVE4</t>
  </si>
  <si>
    <t>Msg Publisher</t>
  </si>
  <si>
    <t>Msg Subscribers</t>
  </si>
  <si>
    <t>1</t>
  </si>
  <si>
    <t>SLAVE1, SLAVE2, SLAVE3, SLAVE4</t>
  </si>
  <si>
    <t>Signal Len (bits)</t>
  </si>
  <si>
    <t>LE</t>
  </si>
  <si>
    <t>Type Name</t>
  </si>
  <si>
    <t>ON</t>
  </si>
  <si>
    <t>OFF</t>
  </si>
  <si>
    <t>ACTIVE</t>
  </si>
  <si>
    <t>INACTIVE</t>
  </si>
  <si>
    <t>Signal Type</t>
  </si>
  <si>
    <t>cmd_LED_on</t>
  </si>
  <si>
    <t>cmd_LED_off</t>
  </si>
  <si>
    <t>t_target_active</t>
  </si>
  <si>
    <t>t_slv_stat</t>
  </si>
  <si>
    <t>ENABLED</t>
  </si>
  <si>
    <t>DISABLED</t>
  </si>
  <si>
    <t>cmd_disable_slv</t>
  </si>
  <si>
    <t>cmd_enable_slv</t>
  </si>
  <si>
    <t>t_boolean</t>
  </si>
  <si>
    <t>t_cmdType</t>
  </si>
  <si>
    <t>Signal Description</t>
  </si>
  <si>
    <t>slave1_LEDstat</t>
  </si>
  <si>
    <t>slave2_LEDstat</t>
  </si>
  <si>
    <t>slave3_LEDstat</t>
  </si>
  <si>
    <t>slave4_LEDstat</t>
  </si>
  <si>
    <t>slave1_enabled</t>
  </si>
  <si>
    <t>slave2_enabled</t>
  </si>
  <si>
    <t>slave3_enabled</t>
  </si>
  <si>
    <t>slave4_enabled</t>
  </si>
  <si>
    <t>SLAVE1_RSP</t>
  </si>
  <si>
    <t>SLAVE2_RSP</t>
  </si>
  <si>
    <t>SLAVE3_RSP</t>
  </si>
  <si>
    <t>SLAVE4_RSP</t>
  </si>
  <si>
    <t>slave1_serial</t>
  </si>
  <si>
    <t>SLAVE1_ID</t>
  </si>
  <si>
    <t>SLAVE2_ID</t>
  </si>
  <si>
    <t>SLAVE3_ID</t>
  </si>
  <si>
    <t>SLAVE4_ID</t>
  </si>
  <si>
    <t>slave1_supplier</t>
  </si>
  <si>
    <t>array</t>
  </si>
  <si>
    <t>scalar</t>
  </si>
  <si>
    <t>7</t>
  </si>
  <si>
    <t>t_LEDstat</t>
  </si>
  <si>
    <t>slave2_supplier</t>
  </si>
  <si>
    <t>slave2_serial</t>
  </si>
  <si>
    <t>slave3_supplier</t>
  </si>
  <si>
    <t>slave3_serial</t>
  </si>
  <si>
    <t>slave4_supplier</t>
  </si>
  <si>
    <t>slave4_serial</t>
  </si>
  <si>
    <t>Table Name</t>
  </si>
  <si>
    <t>Msg</t>
  </si>
  <si>
    <t>Elements…</t>
  </si>
  <si>
    <t>Master Node Name</t>
  </si>
  <si>
    <t>MASTER</t>
  </si>
  <si>
    <t>Size Ticks</t>
  </si>
  <si>
    <t>Can be Interrupted</t>
  </si>
  <si>
    <t>network configuration</t>
  </si>
  <si>
    <t>Protocol configuration</t>
  </si>
  <si>
    <t>Code Implementation</t>
  </si>
  <si>
    <t>BaseTick_ms</t>
  </si>
  <si>
    <t>BrakeSize_bits</t>
  </si>
  <si>
    <t>TX_buffer</t>
  </si>
  <si>
    <t>RX_buffer</t>
  </si>
  <si>
    <t>TX_msg_API_prefix</t>
  </si>
  <si>
    <t>TX_msg_API_suffix</t>
  </si>
  <si>
    <t>RX_msg_API_prefix</t>
  </si>
  <si>
    <t>RX_msg_API_suffix</t>
  </si>
  <si>
    <t>TX_sig_API_prefix</t>
  </si>
  <si>
    <t>TX_sig_API_suffix</t>
  </si>
  <si>
    <t>RX_sig_API_prefix</t>
  </si>
  <si>
    <t>RX_sig_API_suffix</t>
  </si>
  <si>
    <t>RX_Msg_Callbacks</t>
  </si>
  <si>
    <t>RX_Msg_Flags</t>
  </si>
  <si>
    <t>TX_Msg_Function</t>
  </si>
  <si>
    <t>TX_Msg_Flags</t>
  </si>
  <si>
    <t>32</t>
  </si>
  <si>
    <t>Msg Description (text)</t>
  </si>
  <si>
    <t>LIN Network definition (For academic use only)</t>
  </si>
  <si>
    <t>Author:</t>
  </si>
  <si>
    <t>Carlos Fco. Calvillo Cortés</t>
  </si>
  <si>
    <t>Date:</t>
  </si>
  <si>
    <t>1.0</t>
  </si>
  <si>
    <t>Author</t>
  </si>
  <si>
    <t>Version</t>
  </si>
  <si>
    <t>Date</t>
  </si>
  <si>
    <t>Changes</t>
  </si>
  <si>
    <t>Carlos Calvillo</t>
  </si>
  <si>
    <t>Initial version. Autogeneration of XML data however no generation of code yet.</t>
  </si>
  <si>
    <t>06-nov-13</t>
  </si>
  <si>
    <t>MASTER_CMD_SLV1</t>
  </si>
  <si>
    <t>MASTER_CMD_SLV2</t>
  </si>
  <si>
    <t>MASTER_CMD_SLV3</t>
  </si>
  <si>
    <t>MASTER_CMD_SLV4</t>
  </si>
  <si>
    <t>11</t>
  </si>
  <si>
    <t>MASTER_CMD_ALL</t>
  </si>
  <si>
    <t>master_cmdForAll</t>
  </si>
  <si>
    <t>master_cmdForSlave1</t>
  </si>
  <si>
    <t>master_cmdForSlave2</t>
  </si>
  <si>
    <t>master_cmdForSlave3</t>
  </si>
  <si>
    <t>master_cmdForSlave4</t>
  </si>
  <si>
    <t>cmd_LED_toggling</t>
  </si>
  <si>
    <t>Press button to generate XML data file. It will be created in the same path as this excel file.</t>
  </si>
  <si>
    <t>sched_SlvIDs</t>
  </si>
  <si>
    <t>sched_AllCmd</t>
  </si>
  <si>
    <t>sched_SlvCmdAndStats</t>
  </si>
  <si>
    <t>Msg Data Len</t>
  </si>
  <si>
    <t>TOGGLING</t>
  </si>
  <si>
    <t>Change History (Template)</t>
  </si>
  <si>
    <t>Change History (Network)</t>
  </si>
  <si>
    <t>Network Version:</t>
  </si>
  <si>
    <t>Template Version:</t>
  </si>
  <si>
    <t>cmd_NONE</t>
  </si>
  <si>
    <t>Initial version of the LIN network. 1 master node, 4 slave nodes. To be used for the subject "Topicos Selectos" of the "Universidad de Guadalajara"</t>
  </si>
  <si>
    <t>sched_testing</t>
  </si>
  <si>
    <t>ID parity checker</t>
  </si>
  <si>
    <t>correct ID</t>
  </si>
  <si>
    <t>Is it correct?</t>
  </si>
  <si>
    <t>ID (hex)</t>
  </si>
  <si>
    <t>ID generator</t>
  </si>
  <si>
    <t>Raw ID (only ID bits are considered)</t>
  </si>
  <si>
    <t>ID with parity bits</t>
  </si>
  <si>
    <t>F0</t>
  </si>
  <si>
    <t>CF</t>
  </si>
  <si>
    <t>50</t>
  </si>
  <si>
    <t>92</t>
  </si>
  <si>
    <t>D3</t>
  </si>
  <si>
    <t>61</t>
  </si>
  <si>
    <t>E2</t>
  </si>
  <si>
    <t>A3</t>
  </si>
  <si>
    <t>B1</t>
  </si>
  <si>
    <t>73</t>
  </si>
  <si>
    <t>Host_micro_endianess</t>
  </si>
  <si>
    <t>Return LED Status</t>
  </si>
  <si>
    <t>Return Node Status</t>
  </si>
  <si>
    <t>Return Team number</t>
  </si>
  <si>
    <t>Returns initials of members team</t>
  </si>
  <si>
    <t>Command for all nodes</t>
  </si>
  <si>
    <t>Command for node 1</t>
  </si>
  <si>
    <t>Command for node 2</t>
  </si>
  <si>
    <t>Command for node 3</t>
  </si>
  <si>
    <t>Command for node 4</t>
  </si>
  <si>
    <t>Vector of data</t>
  </si>
  <si>
    <t>Raw data</t>
  </si>
  <si>
    <t>00100000</t>
  </si>
  <si>
    <t>01010000</t>
  </si>
  <si>
    <t>11110000</t>
  </si>
  <si>
    <t>11001111</t>
  </si>
  <si>
    <t>00010001</t>
  </si>
  <si>
    <t>10010010</t>
  </si>
  <si>
    <t>11010011</t>
  </si>
  <si>
    <t>01100001</t>
  </si>
  <si>
    <t>11100010</t>
  </si>
  <si>
    <t>10100011</t>
  </si>
  <si>
    <t>10110001</t>
  </si>
  <si>
    <t>00110010</t>
  </si>
  <si>
    <t>01110011</t>
  </si>
  <si>
    <t>110011</t>
  </si>
  <si>
    <t>00</t>
  </si>
  <si>
    <t>010100</t>
  </si>
  <si>
    <t>000100</t>
  </si>
  <si>
    <t>100100</t>
  </si>
  <si>
    <t>110100</t>
  </si>
  <si>
    <t>001000</t>
  </si>
  <si>
    <t>011000</t>
  </si>
  <si>
    <t>111000</t>
  </si>
  <si>
    <t>101000</t>
  </si>
  <si>
    <t>111100</t>
  </si>
  <si>
    <t>101100</t>
  </si>
  <si>
    <t>001100</t>
  </si>
  <si>
    <t>011100</t>
  </si>
  <si>
    <t>01</t>
  </si>
  <si>
    <t>10</t>
  </si>
  <si>
    <t>33</t>
  </si>
  <si>
    <t>24</t>
  </si>
  <si>
    <t>14</t>
  </si>
  <si>
    <t>04</t>
  </si>
  <si>
    <t>34</t>
  </si>
  <si>
    <t>08</t>
  </si>
  <si>
    <t>18</t>
  </si>
  <si>
    <t>38</t>
  </si>
  <si>
    <t>28</t>
  </si>
  <si>
    <t>3C</t>
  </si>
  <si>
    <t>2C</t>
  </si>
  <si>
    <t>0C</t>
  </si>
  <si>
    <t>1C</t>
  </si>
  <si>
    <t>3</t>
  </si>
  <si>
    <t>0</t>
  </si>
  <si>
    <t>equipo: 1</t>
  </si>
  <si>
    <t>AZSEEV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</si>
</sst>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333333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</borders>
  <cellStyleXfs count="1">
    <xf numFmtId="0" fontId="0" fillId="0" borderId="0"/>
  </cellStyleXfs>
  <cellXfs count="91">
    <xf numFmtId="0" fontId="0" fillId="0" borderId="0" xfId="0"/>
    <xf numFmtId="49" fontId="1" fillId="0" borderId="0" xfId="0" applyNumberFormat="1" applyFont="1" applyAlignment="1">
      <alignment wrapText="1"/>
    </xf>
    <xf numFmtId="49" fontId="0" fillId="0" borderId="0" xfId="0" applyNumberFormat="1" applyAlignment="1">
      <alignment wrapText="1"/>
    </xf>
    <xf numFmtId="0" fontId="1" fillId="0" borderId="0" xfId="0" applyFont="1"/>
    <xf numFmtId="0" fontId="0" fillId="0" borderId="0" xfId="0" applyAlignment="1">
      <alignment wrapText="1"/>
    </xf>
    <xf numFmtId="0" fontId="1" fillId="0" borderId="0" xfId="0" applyFont="1" applyAlignment="1">
      <alignment wrapText="1"/>
    </xf>
    <xf numFmtId="0" fontId="1" fillId="3" borderId="6" xfId="0" applyFont="1" applyFill="1" applyBorder="1"/>
    <xf numFmtId="0" fontId="0" fillId="0" borderId="0" xfId="0" applyAlignment="1"/>
    <xf numFmtId="49" fontId="0" fillId="0" borderId="4" xfId="0" applyNumberFormat="1" applyBorder="1" applyAlignment="1">
      <alignment wrapText="1"/>
    </xf>
    <xf numFmtId="0" fontId="0" fillId="5" borderId="0" xfId="0" applyFill="1" applyAlignment="1">
      <alignment wrapText="1"/>
    </xf>
    <xf numFmtId="0" fontId="0" fillId="5" borderId="0" xfId="0" applyFill="1" applyAlignment="1"/>
    <xf numFmtId="0" fontId="0" fillId="0" borderId="0" xfId="0" applyBorder="1" applyAlignment="1"/>
    <xf numFmtId="49" fontId="0" fillId="0" borderId="7" xfId="0" applyNumberFormat="1" applyBorder="1" applyAlignment="1">
      <alignment wrapText="1"/>
    </xf>
    <xf numFmtId="0" fontId="1" fillId="3" borderId="6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wrapText="1"/>
    </xf>
    <xf numFmtId="0" fontId="1" fillId="3" borderId="1" xfId="0" applyFont="1" applyFill="1" applyBorder="1" applyAlignment="1">
      <alignment wrapText="1"/>
    </xf>
    <xf numFmtId="0" fontId="1" fillId="0" borderId="0" xfId="0" applyFont="1" applyBorder="1"/>
    <xf numFmtId="0" fontId="0" fillId="0" borderId="19" xfId="0" applyBorder="1"/>
    <xf numFmtId="0" fontId="1" fillId="3" borderId="18" xfId="0" applyFont="1" applyFill="1" applyBorder="1" applyAlignment="1">
      <alignment wrapText="1"/>
    </xf>
    <xf numFmtId="49" fontId="0" fillId="0" borderId="19" xfId="0" applyNumberFormat="1" applyBorder="1" applyAlignment="1">
      <alignment wrapText="1"/>
    </xf>
    <xf numFmtId="0" fontId="0" fillId="0" borderId="19" xfId="0" applyBorder="1" applyAlignment="1">
      <alignment wrapText="1"/>
    </xf>
    <xf numFmtId="0" fontId="0" fillId="0" borderId="2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19" xfId="0" applyBorder="1" applyProtection="1">
      <protection locked="0"/>
    </xf>
    <xf numFmtId="0" fontId="0" fillId="0" borderId="20" xfId="0" applyBorder="1" applyProtection="1">
      <protection locked="0"/>
    </xf>
    <xf numFmtId="0" fontId="0" fillId="0" borderId="1" xfId="0" applyBorder="1"/>
    <xf numFmtId="0" fontId="0" fillId="0" borderId="6" xfId="0" applyBorder="1"/>
    <xf numFmtId="0" fontId="0" fillId="0" borderId="20" xfId="0" applyBorder="1"/>
    <xf numFmtId="0" fontId="0" fillId="5" borderId="5" xfId="0" applyFill="1" applyBorder="1" applyAlignment="1">
      <alignment wrapText="1"/>
    </xf>
    <xf numFmtId="0" fontId="0" fillId="5" borderId="11" xfId="0" applyFill="1" applyBorder="1" applyAlignment="1">
      <alignment wrapText="1"/>
    </xf>
    <xf numFmtId="0" fontId="0" fillId="5" borderId="12" xfId="0" applyFill="1" applyBorder="1" applyAlignment="1">
      <alignment wrapText="1"/>
    </xf>
    <xf numFmtId="0" fontId="0" fillId="5" borderId="13" xfId="0" applyFill="1" applyBorder="1" applyAlignment="1">
      <alignment wrapText="1"/>
    </xf>
    <xf numFmtId="0" fontId="0" fillId="5" borderId="0" xfId="0" applyFill="1" applyBorder="1" applyAlignment="1">
      <alignment wrapText="1"/>
    </xf>
    <xf numFmtId="0" fontId="0" fillId="5" borderId="14" xfId="0" applyFill="1" applyBorder="1" applyAlignment="1">
      <alignment wrapText="1"/>
    </xf>
    <xf numFmtId="0" fontId="0" fillId="5" borderId="15" xfId="0" applyFill="1" applyBorder="1" applyAlignment="1">
      <alignment wrapText="1"/>
    </xf>
    <xf numFmtId="0" fontId="0" fillId="5" borderId="16" xfId="0" applyFill="1" applyBorder="1" applyAlignment="1">
      <alignment wrapText="1"/>
    </xf>
    <xf numFmtId="0" fontId="0" fillId="5" borderId="17" xfId="0" applyFill="1" applyBorder="1" applyAlignment="1">
      <alignment wrapText="1"/>
    </xf>
    <xf numFmtId="0" fontId="0" fillId="7" borderId="5" xfId="0" applyFill="1" applyBorder="1" applyAlignment="1">
      <alignment wrapText="1"/>
    </xf>
    <xf numFmtId="0" fontId="0" fillId="7" borderId="11" xfId="0" applyFill="1" applyBorder="1" applyAlignment="1">
      <alignment wrapText="1"/>
    </xf>
    <xf numFmtId="0" fontId="0" fillId="7" borderId="12" xfId="0" applyFill="1" applyBorder="1" applyAlignment="1">
      <alignment wrapText="1"/>
    </xf>
    <xf numFmtId="0" fontId="0" fillId="7" borderId="13" xfId="0" applyFill="1" applyBorder="1" applyAlignment="1">
      <alignment wrapText="1"/>
    </xf>
    <xf numFmtId="0" fontId="0" fillId="7" borderId="0" xfId="0" applyFill="1" applyBorder="1" applyAlignment="1">
      <alignment wrapText="1"/>
    </xf>
    <xf numFmtId="0" fontId="0" fillId="7" borderId="14" xfId="0" applyFill="1" applyBorder="1" applyAlignment="1">
      <alignment wrapText="1"/>
    </xf>
    <xf numFmtId="0" fontId="0" fillId="7" borderId="13" xfId="0" applyFill="1" applyBorder="1" applyAlignment="1"/>
    <xf numFmtId="0" fontId="0" fillId="7" borderId="14" xfId="0" applyFill="1" applyBorder="1" applyAlignment="1"/>
    <xf numFmtId="0" fontId="0" fillId="7" borderId="0" xfId="0" applyFill="1" applyBorder="1" applyAlignment="1"/>
    <xf numFmtId="15" fontId="0" fillId="7" borderId="0" xfId="0" applyNumberFormat="1" applyFill="1" applyBorder="1" applyAlignment="1">
      <alignment horizontal="left"/>
    </xf>
    <xf numFmtId="0" fontId="0" fillId="7" borderId="15" xfId="0" applyFill="1" applyBorder="1" applyAlignment="1">
      <alignment wrapText="1"/>
    </xf>
    <xf numFmtId="0" fontId="0" fillId="7" borderId="16" xfId="0" applyFill="1" applyBorder="1" applyAlignment="1">
      <alignment wrapText="1"/>
    </xf>
    <xf numFmtId="0" fontId="0" fillId="7" borderId="17" xfId="0" applyFill="1" applyBorder="1" applyAlignment="1">
      <alignment wrapText="1"/>
    </xf>
    <xf numFmtId="14" fontId="0" fillId="0" borderId="7" xfId="0" applyNumberFormat="1" applyBorder="1" applyAlignment="1">
      <alignment wrapText="1"/>
    </xf>
    <xf numFmtId="0" fontId="1" fillId="6" borderId="1" xfId="0" applyFont="1" applyFill="1" applyBorder="1" applyAlignment="1">
      <alignment wrapText="1"/>
    </xf>
    <xf numFmtId="0" fontId="1" fillId="6" borderId="18" xfId="0" applyFont="1" applyFill="1" applyBorder="1" applyAlignment="1">
      <alignment wrapText="1"/>
    </xf>
    <xf numFmtId="0" fontId="3" fillId="7" borderId="0" xfId="0" applyFont="1" applyFill="1" applyBorder="1" applyAlignment="1"/>
    <xf numFmtId="0" fontId="4" fillId="2" borderId="1" xfId="0" applyFont="1" applyFill="1" applyBorder="1" applyAlignment="1">
      <alignment wrapText="1"/>
    </xf>
    <xf numFmtId="0" fontId="5" fillId="2" borderId="19" xfId="0" applyFont="1" applyFill="1" applyBorder="1" applyAlignment="1">
      <alignment wrapText="1"/>
    </xf>
    <xf numFmtId="0" fontId="7" fillId="0" borderId="0" xfId="0" applyFont="1"/>
    <xf numFmtId="0" fontId="0" fillId="0" borderId="0" xfId="0" applyNumberFormat="1"/>
    <xf numFmtId="0" fontId="1" fillId="3" borderId="0" xfId="0" applyFont="1" applyFill="1" applyBorder="1" applyAlignment="1">
      <alignment horizontal="left"/>
    </xf>
    <xf numFmtId="0" fontId="1" fillId="3" borderId="4" xfId="0" applyFont="1" applyFill="1" applyBorder="1"/>
    <xf numFmtId="0" fontId="1" fillId="3" borderId="4" xfId="0" applyFont="1" applyFill="1" applyBorder="1" applyAlignment="1">
      <alignment horizontal="left"/>
    </xf>
    <xf numFmtId="0" fontId="0" fillId="0" borderId="4" xfId="0" applyBorder="1"/>
    <xf numFmtId="49" fontId="0" fillId="0" borderId="4" xfId="0" applyNumberFormat="1" applyBorder="1"/>
    <xf numFmtId="0" fontId="0" fillId="0" borderId="4" xfId="0" applyBorder="1" applyAlignment="1">
      <alignment wrapText="1"/>
    </xf>
    <xf numFmtId="0" fontId="3" fillId="7" borderId="21" xfId="0" applyFont="1" applyFill="1" applyBorder="1" applyAlignment="1">
      <alignment horizontal="center"/>
    </xf>
    <xf numFmtId="49" fontId="6" fillId="0" borderId="4" xfId="0" applyNumberFormat="1" applyFont="1" applyBorder="1" applyAlignment="1">
      <alignment horizontal="left" wrapText="1"/>
    </xf>
    <xf numFmtId="0" fontId="1" fillId="4" borderId="8" xfId="0" applyFont="1" applyFill="1" applyBorder="1" applyAlignment="1">
      <alignment horizontal="center" wrapText="1"/>
    </xf>
    <xf numFmtId="0" fontId="1" fillId="4" borderId="9" xfId="0" applyFont="1" applyFill="1" applyBorder="1" applyAlignment="1">
      <alignment horizontal="center" wrapText="1"/>
    </xf>
    <xf numFmtId="0" fontId="1" fillId="4" borderId="10" xfId="0" applyFont="1" applyFill="1" applyBorder="1" applyAlignment="1">
      <alignment horizontal="center" wrapText="1"/>
    </xf>
    <xf numFmtId="0" fontId="0" fillId="7" borderId="0" xfId="0" applyFill="1" applyBorder="1" applyAlignment="1">
      <alignment horizontal="left"/>
    </xf>
    <xf numFmtId="15" fontId="0" fillId="7" borderId="0" xfId="0" applyNumberFormat="1" applyFill="1" applyBorder="1" applyAlignment="1">
      <alignment horizontal="left"/>
    </xf>
    <xf numFmtId="49" fontId="0" fillId="7" borderId="0" xfId="0" applyNumberFormat="1" applyFill="1" applyBorder="1" applyAlignment="1">
      <alignment horizontal="left" wrapText="1"/>
    </xf>
    <xf numFmtId="0" fontId="1" fillId="6" borderId="18" xfId="0" applyFont="1" applyFill="1" applyBorder="1" applyAlignment="1">
      <alignment horizontal="center" wrapText="1"/>
    </xf>
    <xf numFmtId="0" fontId="1" fillId="6" borderId="3" xfId="0" applyFont="1" applyFill="1" applyBorder="1" applyAlignment="1">
      <alignment horizontal="center" wrapText="1"/>
    </xf>
    <xf numFmtId="0" fontId="0" fillId="5" borderId="0" xfId="0" applyFill="1" applyBorder="1" applyAlignment="1">
      <alignment horizontal="left" wrapText="1"/>
    </xf>
    <xf numFmtId="49" fontId="6" fillId="0" borderId="7" xfId="0" applyNumberFormat="1" applyFont="1" applyBorder="1" applyAlignment="1">
      <alignment horizontal="left" wrapText="1"/>
    </xf>
    <xf numFmtId="0" fontId="0" fillId="7" borderId="0" xfId="0" applyFill="1" applyBorder="1" applyAlignment="1">
      <alignment horizontal="left" wrapText="1"/>
    </xf>
    <xf numFmtId="0" fontId="1" fillId="3" borderId="5" xfId="0" applyFont="1" applyFill="1" applyBorder="1" applyAlignment="1">
      <alignment horizontal="left"/>
    </xf>
    <xf numFmtId="0" fontId="1" fillId="3" borderId="11" xfId="0" applyFont="1" applyFill="1" applyBorder="1" applyAlignment="1">
      <alignment horizontal="left"/>
    </xf>
    <xf numFmtId="0" fontId="1" fillId="3" borderId="18" xfId="0" applyFont="1" applyFill="1" applyBorder="1" applyAlignment="1">
      <alignment horizontal="left"/>
    </xf>
    <xf numFmtId="0" fontId="0" fillId="0" borderId="4" xfId="0" applyBorder="1" applyAlignment="1">
      <alignment horizontal="left"/>
    </xf>
    <xf numFmtId="0" fontId="1" fillId="3" borderId="6" xfId="0" applyFont="1" applyFill="1" applyBorder="1" applyAlignment="1">
      <alignment horizontal="center" vertical="center"/>
    </xf>
    <xf numFmtId="0" fontId="1" fillId="3" borderId="19" xfId="0" applyFont="1" applyFill="1" applyBorder="1" applyAlignment="1">
      <alignment horizontal="center" vertical="center"/>
    </xf>
    <xf numFmtId="0" fontId="1" fillId="3" borderId="20" xfId="0" applyFont="1" applyFill="1" applyBorder="1" applyAlignment="1">
      <alignment horizontal="center" vertical="center"/>
    </xf>
    <xf numFmtId="0" fontId="0" fillId="8" borderId="0" xfId="0" applyFill="1" applyAlignment="1">
      <alignment wrapText="1"/>
    </xf>
    <xf numFmtId="49" fontId="0" fillId="8" borderId="19" xfId="0" applyNumberFormat="1" applyFill="1" applyBorder="1" applyAlignment="1">
      <alignment wrapText="1"/>
    </xf>
    <xf numFmtId="0" fontId="0" fillId="8" borderId="19" xfId="0" applyFill="1" applyBorder="1" applyAlignment="1">
      <alignment wrapText="1"/>
    </xf>
    <xf numFmtId="0" fontId="0" fillId="8" borderId="19" xfId="0" applyFill="1" applyBorder="1"/>
    <xf numFmtId="49" fontId="0" fillId="8" borderId="0" xfId="0" applyNumberFormat="1" applyFill="1" applyAlignment="1">
      <alignment wrapText="1"/>
    </xf>
    <xf numFmtId="49" fontId="1" fillId="8" borderId="0" xfId="0" applyNumberFormat="1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85725</xdr:colOff>
      <xdr:row>3</xdr:row>
      <xdr:rowOff>121430</xdr:rowOff>
    </xdr:from>
    <xdr:to>
      <xdr:col>9</xdr:col>
      <xdr:colOff>352424</xdr:colOff>
      <xdr:row>9</xdr:row>
      <xdr:rowOff>180975</xdr:rowOff>
    </xdr:to>
    <xdr:pic>
      <xdr:nvPicPr>
        <xdr:cNvPr id="10242" name="Picture 2" descr="http://www.vda.de/images/cm/abt_technik/GoIng/Continental_Logo_Tagline_Yellow_sRGB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57625" y="607205"/>
          <a:ext cx="3457574" cy="1202545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238125</xdr:colOff>
          <xdr:row>20</xdr:row>
          <xdr:rowOff>28575</xdr:rowOff>
        </xdr:from>
        <xdr:to>
          <xdr:col>10</xdr:col>
          <xdr:colOff>381000</xdr:colOff>
          <xdr:row>21</xdr:row>
          <xdr:rowOff>9525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</a:rPr>
                <a:t>Generate 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3:M47"/>
  <sheetViews>
    <sheetView topLeftCell="A25" workbookViewId="0">
      <selection activeCell="P13" sqref="P13"/>
    </sheetView>
  </sheetViews>
  <sheetFormatPr baseColWidth="10" defaultColWidth="9.140625" defaultRowHeight="15" x14ac:dyDescent="0.25"/>
  <cols>
    <col min="1" max="1" width="9.140625" style="4"/>
    <col min="2" max="2" width="1.28515625" style="4" customWidth="1"/>
    <col min="3" max="3" width="2.140625" style="4" customWidth="1"/>
    <col min="4" max="4" width="9.42578125" style="4" customWidth="1"/>
    <col min="5" max="5" width="9.7109375" style="4" customWidth="1"/>
    <col min="6" max="6" width="10.7109375" style="4" bestFit="1" customWidth="1"/>
    <col min="7" max="11" width="9.140625" style="4"/>
    <col min="12" max="12" width="2.140625" style="4" customWidth="1"/>
    <col min="13" max="13" width="1.28515625" style="4" customWidth="1"/>
    <col min="14" max="16384" width="9.140625" style="4"/>
  </cols>
  <sheetData>
    <row r="3" spans="2:13" ht="8.25" customHeight="1" thickBot="1" x14ac:dyDescent="0.3"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</row>
    <row r="4" spans="2:13" x14ac:dyDescent="0.25">
      <c r="B4" s="9"/>
      <c r="C4" s="38"/>
      <c r="D4" s="39"/>
      <c r="E4" s="39"/>
      <c r="F4" s="39"/>
      <c r="G4" s="39"/>
      <c r="H4" s="39"/>
      <c r="I4" s="39"/>
      <c r="J4" s="39"/>
      <c r="K4" s="39"/>
      <c r="L4" s="40"/>
      <c r="M4" s="9"/>
    </row>
    <row r="5" spans="2:13" x14ac:dyDescent="0.25">
      <c r="B5" s="9"/>
      <c r="C5" s="41"/>
      <c r="D5" s="42"/>
      <c r="E5" s="42"/>
      <c r="F5" s="42"/>
      <c r="G5" s="42"/>
      <c r="H5" s="42"/>
      <c r="I5" s="42"/>
      <c r="J5" s="42"/>
      <c r="K5" s="42"/>
      <c r="L5" s="43"/>
      <c r="M5" s="9"/>
    </row>
    <row r="6" spans="2:13" x14ac:dyDescent="0.25">
      <c r="B6" s="9"/>
      <c r="C6" s="41"/>
      <c r="D6" s="42"/>
      <c r="E6" s="42"/>
      <c r="F6" s="42"/>
      <c r="G6" s="42"/>
      <c r="H6" s="42"/>
      <c r="I6" s="42"/>
      <c r="J6" s="42"/>
      <c r="K6" s="42"/>
      <c r="L6" s="43"/>
      <c r="M6" s="9"/>
    </row>
    <row r="7" spans="2:13" x14ac:dyDescent="0.25">
      <c r="B7" s="9"/>
      <c r="C7" s="41"/>
      <c r="D7" s="42"/>
      <c r="E7" s="42"/>
      <c r="F7" s="42"/>
      <c r="G7" s="42"/>
      <c r="H7" s="42"/>
      <c r="I7" s="42"/>
      <c r="J7" s="42"/>
      <c r="K7" s="42"/>
      <c r="L7" s="43"/>
      <c r="M7" s="9"/>
    </row>
    <row r="8" spans="2:13" x14ac:dyDescent="0.25">
      <c r="B8" s="9"/>
      <c r="C8" s="41"/>
      <c r="D8" s="42"/>
      <c r="E8" s="42"/>
      <c r="F8" s="42"/>
      <c r="G8" s="42"/>
      <c r="H8" s="42"/>
      <c r="I8" s="42"/>
      <c r="J8" s="42"/>
      <c r="K8" s="42"/>
      <c r="L8" s="43"/>
      <c r="M8" s="9"/>
    </row>
    <row r="9" spans="2:13" x14ac:dyDescent="0.25">
      <c r="B9" s="9"/>
      <c r="C9" s="41"/>
      <c r="D9" s="42"/>
      <c r="E9" s="42"/>
      <c r="F9" s="42"/>
      <c r="G9" s="42"/>
      <c r="H9" s="42"/>
      <c r="I9" s="42"/>
      <c r="J9" s="42"/>
      <c r="K9" s="42"/>
      <c r="L9" s="43"/>
      <c r="M9" s="9"/>
    </row>
    <row r="10" spans="2:13" x14ac:dyDescent="0.25">
      <c r="B10" s="9"/>
      <c r="C10" s="41"/>
      <c r="D10" s="42"/>
      <c r="E10" s="42"/>
      <c r="F10" s="42"/>
      <c r="G10" s="42"/>
      <c r="H10" s="42"/>
      <c r="I10" s="42"/>
      <c r="J10" s="42"/>
      <c r="K10" s="42"/>
      <c r="L10" s="43"/>
      <c r="M10" s="9"/>
    </row>
    <row r="11" spans="2:13" s="7" customFormat="1" ht="18.75" x14ac:dyDescent="0.3">
      <c r="B11" s="10"/>
      <c r="C11" s="44"/>
      <c r="D11" s="11"/>
      <c r="E11" s="65" t="s">
        <v>98</v>
      </c>
      <c r="F11" s="65"/>
      <c r="G11" s="65"/>
      <c r="H11" s="65"/>
      <c r="I11" s="65"/>
      <c r="J11" s="65"/>
      <c r="K11" s="54"/>
      <c r="L11" s="45"/>
      <c r="M11" s="10"/>
    </row>
    <row r="12" spans="2:13" s="7" customFormat="1" x14ac:dyDescent="0.25">
      <c r="B12" s="10"/>
      <c r="C12" s="44"/>
      <c r="D12" s="46"/>
      <c r="E12" s="46"/>
      <c r="F12" s="46"/>
      <c r="G12" s="46"/>
      <c r="H12" s="46"/>
      <c r="I12" s="46"/>
      <c r="J12" s="46"/>
      <c r="K12" s="46"/>
      <c r="L12" s="45"/>
      <c r="M12" s="10"/>
    </row>
    <row r="13" spans="2:13" s="7" customFormat="1" x14ac:dyDescent="0.25">
      <c r="B13" s="10"/>
      <c r="C13" s="44"/>
      <c r="D13" s="46" t="s">
        <v>99</v>
      </c>
      <c r="E13" s="70" t="s">
        <v>100</v>
      </c>
      <c r="F13" s="70"/>
      <c r="G13" s="70"/>
      <c r="H13" s="70"/>
      <c r="I13" s="70"/>
      <c r="J13" s="70"/>
      <c r="K13" s="70"/>
      <c r="L13" s="45"/>
      <c r="M13" s="10"/>
    </row>
    <row r="14" spans="2:13" s="7" customFormat="1" x14ac:dyDescent="0.25">
      <c r="B14" s="10"/>
      <c r="C14" s="44"/>
      <c r="D14" s="46" t="s">
        <v>101</v>
      </c>
      <c r="E14" s="71">
        <v>41595</v>
      </c>
      <c r="F14" s="71"/>
      <c r="G14" s="71"/>
      <c r="H14" s="71"/>
      <c r="I14" s="71"/>
      <c r="J14" s="71"/>
      <c r="K14" s="71"/>
      <c r="L14" s="45"/>
      <c r="M14" s="10"/>
    </row>
    <row r="15" spans="2:13" s="7" customFormat="1" x14ac:dyDescent="0.25">
      <c r="B15" s="10"/>
      <c r="C15" s="44"/>
      <c r="D15" s="46" t="s">
        <v>130</v>
      </c>
      <c r="E15" s="47"/>
      <c r="F15" s="72" t="s">
        <v>102</v>
      </c>
      <c r="G15" s="72"/>
      <c r="H15" s="72"/>
      <c r="I15" s="72"/>
      <c r="J15" s="72"/>
      <c r="K15" s="72"/>
      <c r="L15" s="45"/>
      <c r="M15" s="10"/>
    </row>
    <row r="16" spans="2:13" x14ac:dyDescent="0.25">
      <c r="B16" s="9"/>
      <c r="C16" s="41"/>
      <c r="D16" s="77" t="s">
        <v>131</v>
      </c>
      <c r="E16" s="77"/>
      <c r="F16" s="72" t="s">
        <v>102</v>
      </c>
      <c r="G16" s="72"/>
      <c r="H16" s="72"/>
      <c r="I16" s="72"/>
      <c r="J16" s="72"/>
      <c r="K16" s="72"/>
      <c r="L16" s="43"/>
      <c r="M16" s="9"/>
    </row>
    <row r="17" spans="2:13" ht="15.75" thickBot="1" x14ac:dyDescent="0.3">
      <c r="B17" s="9"/>
      <c r="C17" s="48"/>
      <c r="D17" s="49"/>
      <c r="E17" s="49"/>
      <c r="F17" s="49"/>
      <c r="G17" s="49"/>
      <c r="H17" s="49"/>
      <c r="I17" s="49"/>
      <c r="J17" s="49"/>
      <c r="K17" s="49"/>
      <c r="L17" s="50"/>
      <c r="M17" s="9"/>
    </row>
    <row r="18" spans="2:13" ht="7.5" customHeight="1" x14ac:dyDescent="0.25"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</row>
    <row r="19" spans="2:13" ht="15.75" thickBot="1" x14ac:dyDescent="0.3"/>
    <row r="20" spans="2:13" x14ac:dyDescent="0.25">
      <c r="C20" s="29"/>
      <c r="D20" s="30"/>
      <c r="E20" s="30"/>
      <c r="F20" s="30"/>
      <c r="G20" s="30"/>
      <c r="H20" s="30"/>
      <c r="I20" s="30"/>
      <c r="J20" s="30"/>
      <c r="K20" s="30"/>
      <c r="L20" s="31"/>
    </row>
    <row r="21" spans="2:13" ht="30.75" customHeight="1" x14ac:dyDescent="0.25">
      <c r="C21" s="32"/>
      <c r="D21" s="75" t="s">
        <v>122</v>
      </c>
      <c r="E21" s="75"/>
      <c r="F21" s="75"/>
      <c r="G21" s="75"/>
      <c r="H21" s="75"/>
      <c r="I21" s="33"/>
      <c r="J21" s="33"/>
      <c r="K21" s="33"/>
      <c r="L21" s="34"/>
    </row>
    <row r="22" spans="2:13" ht="15.75" thickBot="1" x14ac:dyDescent="0.3">
      <c r="C22" s="35"/>
      <c r="D22" s="36"/>
      <c r="E22" s="36"/>
      <c r="F22" s="36"/>
      <c r="G22" s="36"/>
      <c r="H22" s="36"/>
      <c r="I22" s="36"/>
      <c r="J22" s="36"/>
      <c r="K22" s="36"/>
      <c r="L22" s="37"/>
    </row>
    <row r="23" spans="2:13" ht="15.75" thickBot="1" x14ac:dyDescent="0.3"/>
    <row r="24" spans="2:13" ht="15.75" thickBot="1" x14ac:dyDescent="0.3">
      <c r="D24" s="67" t="s">
        <v>129</v>
      </c>
      <c r="E24" s="68"/>
      <c r="F24" s="68"/>
      <c r="G24" s="68"/>
      <c r="H24" s="68"/>
      <c r="I24" s="68"/>
      <c r="J24" s="68"/>
      <c r="K24" s="69"/>
    </row>
    <row r="25" spans="2:13" ht="15.75" thickBot="1" x14ac:dyDescent="0.3">
      <c r="D25" s="52" t="s">
        <v>103</v>
      </c>
      <c r="E25" s="53" t="s">
        <v>104</v>
      </c>
      <c r="F25" s="52" t="s">
        <v>105</v>
      </c>
      <c r="G25" s="73" t="s">
        <v>106</v>
      </c>
      <c r="H25" s="73"/>
      <c r="I25" s="73"/>
      <c r="J25" s="73"/>
      <c r="K25" s="74"/>
    </row>
    <row r="26" spans="2:13" ht="49.5" customHeight="1" x14ac:dyDescent="0.25">
      <c r="D26" s="12" t="s">
        <v>107</v>
      </c>
      <c r="E26" s="12" t="s">
        <v>102</v>
      </c>
      <c r="F26" s="51">
        <v>41595</v>
      </c>
      <c r="G26" s="76" t="s">
        <v>133</v>
      </c>
      <c r="H26" s="76"/>
      <c r="I26" s="76"/>
      <c r="J26" s="76"/>
      <c r="K26" s="76"/>
    </row>
    <row r="27" spans="2:13" x14ac:dyDescent="0.25">
      <c r="D27" s="8"/>
      <c r="E27" s="8"/>
      <c r="F27" s="8"/>
      <c r="G27" s="66"/>
      <c r="H27" s="66"/>
      <c r="I27" s="66"/>
      <c r="J27" s="66"/>
      <c r="K27" s="66"/>
    </row>
    <row r="28" spans="2:13" x14ac:dyDescent="0.25">
      <c r="D28" s="8"/>
      <c r="E28" s="8"/>
      <c r="F28" s="8"/>
      <c r="G28" s="66"/>
      <c r="H28" s="66"/>
      <c r="I28" s="66"/>
      <c r="J28" s="66"/>
      <c r="K28" s="66"/>
    </row>
    <row r="29" spans="2:13" x14ac:dyDescent="0.25">
      <c r="D29" s="8"/>
      <c r="E29" s="8"/>
      <c r="F29" s="8"/>
      <c r="G29" s="66"/>
      <c r="H29" s="66"/>
      <c r="I29" s="66"/>
      <c r="J29" s="66"/>
      <c r="K29" s="66"/>
    </row>
    <row r="30" spans="2:13" ht="15.75" thickBot="1" x14ac:dyDescent="0.3"/>
    <row r="31" spans="2:13" ht="15.75" thickBot="1" x14ac:dyDescent="0.3">
      <c r="D31" s="67" t="s">
        <v>128</v>
      </c>
      <c r="E31" s="68"/>
      <c r="F31" s="68"/>
      <c r="G31" s="68"/>
      <c r="H31" s="68"/>
      <c r="I31" s="68"/>
      <c r="J31" s="68"/>
      <c r="K31" s="69"/>
    </row>
    <row r="32" spans="2:13" ht="15.75" thickBot="1" x14ac:dyDescent="0.3">
      <c r="D32" s="52" t="s">
        <v>103</v>
      </c>
      <c r="E32" s="53" t="s">
        <v>104</v>
      </c>
      <c r="F32" s="52" t="s">
        <v>105</v>
      </c>
      <c r="G32" s="73" t="s">
        <v>106</v>
      </c>
      <c r="H32" s="73"/>
      <c r="I32" s="73"/>
      <c r="J32" s="73"/>
      <c r="K32" s="74"/>
    </row>
    <row r="33" spans="4:11" ht="30" x14ac:dyDescent="0.25">
      <c r="D33" s="12" t="s">
        <v>107</v>
      </c>
      <c r="E33" s="12" t="s">
        <v>102</v>
      </c>
      <c r="F33" s="51" t="s">
        <v>109</v>
      </c>
      <c r="G33" s="76" t="s">
        <v>108</v>
      </c>
      <c r="H33" s="76"/>
      <c r="I33" s="76"/>
      <c r="J33" s="76"/>
      <c r="K33" s="76"/>
    </row>
    <row r="34" spans="4:11" x14ac:dyDescent="0.25">
      <c r="D34" s="8"/>
      <c r="E34" s="8"/>
      <c r="F34" s="8"/>
      <c r="G34" s="66"/>
      <c r="H34" s="66"/>
      <c r="I34" s="66"/>
      <c r="J34" s="66"/>
      <c r="K34" s="66"/>
    </row>
    <row r="35" spans="4:11" x14ac:dyDescent="0.25">
      <c r="D35" s="8"/>
      <c r="E35" s="8"/>
      <c r="F35" s="8"/>
      <c r="G35" s="66"/>
      <c r="H35" s="66"/>
      <c r="I35" s="66"/>
      <c r="J35" s="66"/>
      <c r="K35" s="66"/>
    </row>
    <row r="36" spans="4:11" x14ac:dyDescent="0.25">
      <c r="D36" s="8"/>
      <c r="E36" s="8"/>
      <c r="F36" s="8"/>
      <c r="G36" s="66"/>
      <c r="H36" s="66"/>
      <c r="I36" s="66"/>
      <c r="J36" s="66"/>
      <c r="K36" s="66"/>
    </row>
    <row r="37" spans="4:11" x14ac:dyDescent="0.25">
      <c r="D37" s="8"/>
      <c r="E37" s="8"/>
      <c r="F37" s="8"/>
      <c r="G37" s="66"/>
      <c r="H37" s="66"/>
      <c r="I37" s="66"/>
      <c r="J37" s="66"/>
      <c r="K37" s="66"/>
    </row>
    <row r="38" spans="4:11" x14ac:dyDescent="0.25">
      <c r="D38" s="8"/>
      <c r="E38" s="8"/>
      <c r="F38" s="8"/>
      <c r="G38" s="66"/>
      <c r="H38" s="66"/>
      <c r="I38" s="66"/>
      <c r="J38" s="66"/>
      <c r="K38" s="66"/>
    </row>
    <row r="39" spans="4:11" x14ac:dyDescent="0.25">
      <c r="D39" s="2"/>
      <c r="E39" s="2"/>
      <c r="F39" s="2"/>
      <c r="G39" s="2"/>
      <c r="H39" s="2"/>
      <c r="I39" s="2"/>
      <c r="J39" s="2"/>
      <c r="K39" s="2"/>
    </row>
    <row r="40" spans="4:11" x14ac:dyDescent="0.25">
      <c r="D40" s="2"/>
      <c r="E40" s="2"/>
      <c r="F40" s="2"/>
      <c r="G40" s="2"/>
      <c r="H40" s="2"/>
      <c r="I40" s="2"/>
      <c r="J40" s="2"/>
      <c r="K40" s="2"/>
    </row>
    <row r="41" spans="4:11" x14ac:dyDescent="0.25">
      <c r="D41" s="2"/>
      <c r="E41" s="2"/>
      <c r="F41" s="2"/>
      <c r="G41" s="2"/>
      <c r="H41" s="2"/>
      <c r="I41" s="2"/>
      <c r="J41" s="2"/>
      <c r="K41" s="2"/>
    </row>
    <row r="42" spans="4:11" x14ac:dyDescent="0.25">
      <c r="D42" s="2"/>
      <c r="E42" s="2"/>
      <c r="F42" s="2"/>
      <c r="G42" s="2"/>
      <c r="H42" s="2"/>
      <c r="I42" s="2"/>
      <c r="J42" s="2"/>
      <c r="K42" s="2"/>
    </row>
    <row r="43" spans="4:11" x14ac:dyDescent="0.25">
      <c r="D43" s="2"/>
      <c r="E43" s="2"/>
      <c r="F43" s="2"/>
      <c r="G43" s="2"/>
      <c r="H43" s="2"/>
      <c r="I43" s="2"/>
      <c r="J43" s="2"/>
      <c r="K43" s="2"/>
    </row>
    <row r="44" spans="4:11" x14ac:dyDescent="0.25">
      <c r="D44" s="2"/>
      <c r="E44" s="2"/>
      <c r="F44" s="2"/>
      <c r="G44" s="2"/>
      <c r="H44" s="2"/>
      <c r="I44" s="2"/>
      <c r="J44" s="2"/>
      <c r="K44" s="2"/>
    </row>
    <row r="45" spans="4:11" x14ac:dyDescent="0.25">
      <c r="D45" s="2"/>
      <c r="E45" s="2"/>
      <c r="F45" s="2"/>
      <c r="G45" s="2"/>
      <c r="H45" s="2"/>
      <c r="I45" s="2"/>
      <c r="J45" s="2"/>
      <c r="K45" s="2"/>
    </row>
    <row r="46" spans="4:11" x14ac:dyDescent="0.25">
      <c r="D46" s="2"/>
      <c r="E46" s="2"/>
      <c r="F46" s="2"/>
      <c r="G46" s="2"/>
      <c r="H46" s="2"/>
      <c r="I46" s="2"/>
      <c r="J46" s="2"/>
      <c r="K46" s="2"/>
    </row>
    <row r="47" spans="4:11" x14ac:dyDescent="0.25">
      <c r="D47" s="2"/>
      <c r="E47" s="2"/>
      <c r="F47" s="2"/>
      <c r="G47" s="2"/>
      <c r="H47" s="2"/>
      <c r="I47" s="2"/>
      <c r="J47" s="2"/>
      <c r="K47" s="2"/>
    </row>
  </sheetData>
  <mergeCells count="21">
    <mergeCell ref="G26:K26"/>
    <mergeCell ref="G27:K27"/>
    <mergeCell ref="G28:K28"/>
    <mergeCell ref="G29:K29"/>
    <mergeCell ref="F15:K15"/>
    <mergeCell ref="E11:J11"/>
    <mergeCell ref="G38:K38"/>
    <mergeCell ref="D31:K31"/>
    <mergeCell ref="E13:K13"/>
    <mergeCell ref="E14:K14"/>
    <mergeCell ref="F16:K16"/>
    <mergeCell ref="G32:K32"/>
    <mergeCell ref="D21:H21"/>
    <mergeCell ref="G33:K33"/>
    <mergeCell ref="D16:E16"/>
    <mergeCell ref="G34:K34"/>
    <mergeCell ref="G35:K35"/>
    <mergeCell ref="G36:K36"/>
    <mergeCell ref="G37:K37"/>
    <mergeCell ref="D24:K24"/>
    <mergeCell ref="G25:K2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GenerateXML_Click">
                <anchor moveWithCells="1" sizeWithCells="1">
                  <from>
                    <xdr:col>8</xdr:col>
                    <xdr:colOff>238125</xdr:colOff>
                    <xdr:row>20</xdr:row>
                    <xdr:rowOff>28575</xdr:rowOff>
                  </from>
                  <to>
                    <xdr:col>10</xdr:col>
                    <xdr:colOff>381000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8"/>
  <sheetViews>
    <sheetView workbookViewId="0">
      <selection activeCell="D25" sqref="D25"/>
    </sheetView>
  </sheetViews>
  <sheetFormatPr baseColWidth="10" defaultColWidth="9.140625" defaultRowHeight="15" x14ac:dyDescent="0.25"/>
  <cols>
    <col min="1" max="1" width="18.42578125" bestFit="1" customWidth="1"/>
    <col min="2" max="3" width="20.140625" customWidth="1"/>
  </cols>
  <sheetData>
    <row r="1" spans="1:2" s="3" customFormat="1" ht="24.75" customHeight="1" thickBot="1" x14ac:dyDescent="0.3">
      <c r="A1" s="14" t="s">
        <v>73</v>
      </c>
      <c r="B1" s="13" t="s">
        <v>14</v>
      </c>
    </row>
    <row r="2" spans="1:2" ht="15.75" thickBot="1" x14ac:dyDescent="0.3">
      <c r="A2" s="22" t="s">
        <v>74</v>
      </c>
      <c r="B2" s="23" t="s">
        <v>15</v>
      </c>
    </row>
    <row r="3" spans="1:2" x14ac:dyDescent="0.25">
      <c r="B3" s="24" t="s">
        <v>16</v>
      </c>
    </row>
    <row r="4" spans="1:2" x14ac:dyDescent="0.25">
      <c r="B4" s="24" t="s">
        <v>17</v>
      </c>
    </row>
    <row r="5" spans="1:2" x14ac:dyDescent="0.25">
      <c r="B5" s="24" t="s">
        <v>18</v>
      </c>
    </row>
    <row r="6" spans="1:2" x14ac:dyDescent="0.25">
      <c r="B6" s="24"/>
    </row>
    <row r="7" spans="1:2" x14ac:dyDescent="0.25">
      <c r="B7" s="24"/>
    </row>
    <row r="8" spans="1:2" x14ac:dyDescent="0.25">
      <c r="B8" s="24"/>
    </row>
    <row r="9" spans="1:2" x14ac:dyDescent="0.25">
      <c r="B9" s="24"/>
    </row>
    <row r="10" spans="1:2" x14ac:dyDescent="0.25">
      <c r="B10" s="24"/>
    </row>
    <row r="11" spans="1:2" x14ac:dyDescent="0.25">
      <c r="B11" s="24"/>
    </row>
    <row r="12" spans="1:2" x14ac:dyDescent="0.25">
      <c r="B12" s="24"/>
    </row>
    <row r="13" spans="1:2" x14ac:dyDescent="0.25">
      <c r="B13" s="24"/>
    </row>
    <row r="14" spans="1:2" x14ac:dyDescent="0.25">
      <c r="B14" s="24"/>
    </row>
    <row r="15" spans="1:2" x14ac:dyDescent="0.25">
      <c r="B15" s="24"/>
    </row>
    <row r="16" spans="1:2" x14ac:dyDescent="0.25">
      <c r="B16" s="24"/>
    </row>
    <row r="17" spans="2:2" x14ac:dyDescent="0.25">
      <c r="B17" s="24"/>
    </row>
    <row r="18" spans="2:2" ht="15.75" thickBot="1" x14ac:dyDescent="0.3">
      <c r="B18" s="2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4"/>
  <sheetViews>
    <sheetView zoomScale="85" zoomScaleNormal="85" workbookViewId="0">
      <selection activeCell="F27" sqref="F27"/>
    </sheetView>
  </sheetViews>
  <sheetFormatPr baseColWidth="10" defaultColWidth="9.140625" defaultRowHeight="15" x14ac:dyDescent="0.25"/>
  <cols>
    <col min="1" max="1" width="15.85546875" style="2" customWidth="1"/>
    <col min="2" max="2" width="8.42578125" style="2" customWidth="1"/>
    <col min="3" max="3" width="8.5703125" style="2" customWidth="1"/>
    <col min="4" max="4" width="3.5703125" style="2" customWidth="1"/>
    <col min="5" max="5" width="7.42578125" style="2" customWidth="1"/>
    <col min="6" max="6" width="12.7109375" style="2" customWidth="1"/>
    <col min="7" max="7" width="24.7109375" style="20" customWidth="1"/>
    <col min="8" max="8" width="14.85546875" style="2" customWidth="1"/>
    <col min="9" max="9" width="18" style="20" bestFit="1" customWidth="1"/>
    <col min="10" max="11" width="22.42578125" style="20" customWidth="1"/>
    <col min="12" max="12" width="72" style="20" customWidth="1"/>
    <col min="13" max="16384" width="9.140625" style="2"/>
  </cols>
  <sheetData>
    <row r="1" spans="1:12" s="1" customFormat="1" ht="30.75" customHeight="1" thickBot="1" x14ac:dyDescent="0.3">
      <c r="F1" s="15" t="s">
        <v>0</v>
      </c>
      <c r="G1" s="16" t="s">
        <v>13</v>
      </c>
      <c r="H1" s="19" t="s">
        <v>126</v>
      </c>
      <c r="I1" s="16" t="s">
        <v>19</v>
      </c>
      <c r="J1" s="16" t="s">
        <v>20</v>
      </c>
      <c r="K1" s="16" t="s">
        <v>7</v>
      </c>
      <c r="L1" s="16" t="s">
        <v>97</v>
      </c>
    </row>
    <row r="2" spans="1:12" s="90" customFormat="1" ht="30.75" customHeight="1" x14ac:dyDescent="0.25">
      <c r="A2" s="90" t="s">
        <v>167</v>
      </c>
      <c r="B2" s="90" t="s">
        <v>177</v>
      </c>
      <c r="C2" s="90" t="s">
        <v>193</v>
      </c>
      <c r="D2" s="90" t="s">
        <v>114</v>
      </c>
      <c r="E2" s="90" t="s">
        <v>206</v>
      </c>
      <c r="F2" s="89" t="s">
        <v>143</v>
      </c>
      <c r="G2" s="86" t="s">
        <v>115</v>
      </c>
      <c r="H2" s="89" t="s">
        <v>21</v>
      </c>
      <c r="I2" s="87" t="s">
        <v>74</v>
      </c>
      <c r="J2" s="87" t="s">
        <v>22</v>
      </c>
      <c r="K2" s="86" t="s">
        <v>12</v>
      </c>
      <c r="L2" s="86"/>
    </row>
    <row r="3" spans="1:12" s="89" customFormat="1" x14ac:dyDescent="0.25">
      <c r="A3" s="89" t="s">
        <v>165</v>
      </c>
      <c r="B3" s="89" t="s">
        <v>179</v>
      </c>
      <c r="C3" s="89" t="s">
        <v>195</v>
      </c>
      <c r="D3" s="89" t="s">
        <v>178</v>
      </c>
      <c r="E3" s="89" t="s">
        <v>207</v>
      </c>
      <c r="F3" s="89" t="s">
        <v>144</v>
      </c>
      <c r="G3" s="86" t="s">
        <v>110</v>
      </c>
      <c r="H3" s="89" t="s">
        <v>21</v>
      </c>
      <c r="I3" s="87" t="s">
        <v>74</v>
      </c>
      <c r="J3" s="87" t="s">
        <v>15</v>
      </c>
      <c r="K3" s="86" t="s">
        <v>12</v>
      </c>
      <c r="L3" s="86"/>
    </row>
    <row r="4" spans="1:12" x14ac:dyDescent="0.25">
      <c r="A4" s="2" t="s">
        <v>168</v>
      </c>
      <c r="B4" s="2" t="s">
        <v>180</v>
      </c>
      <c r="C4" s="2" t="s">
        <v>196</v>
      </c>
      <c r="D4" s="2" t="s">
        <v>191</v>
      </c>
      <c r="E4" s="2" t="s">
        <v>21</v>
      </c>
      <c r="F4" s="2" t="s">
        <v>114</v>
      </c>
      <c r="G4" s="20" t="s">
        <v>111</v>
      </c>
      <c r="H4" s="2" t="s">
        <v>21</v>
      </c>
      <c r="I4" s="21" t="s">
        <v>74</v>
      </c>
      <c r="J4" s="21" t="s">
        <v>16</v>
      </c>
      <c r="K4" s="20" t="s">
        <v>12</v>
      </c>
    </row>
    <row r="5" spans="1:12" x14ac:dyDescent="0.25">
      <c r="A5" s="2" t="s">
        <v>169</v>
      </c>
      <c r="B5" s="2" t="s">
        <v>181</v>
      </c>
      <c r="C5" s="2" t="s">
        <v>194</v>
      </c>
      <c r="D5" s="2" t="s">
        <v>192</v>
      </c>
      <c r="E5" s="2" t="s">
        <v>8</v>
      </c>
      <c r="F5" s="2" t="s">
        <v>145</v>
      </c>
      <c r="G5" s="20" t="s">
        <v>112</v>
      </c>
      <c r="H5" s="2" t="s">
        <v>21</v>
      </c>
      <c r="I5" s="21" t="s">
        <v>74</v>
      </c>
      <c r="J5" s="21" t="s">
        <v>17</v>
      </c>
      <c r="K5" s="20" t="s">
        <v>12</v>
      </c>
    </row>
    <row r="6" spans="1:12" x14ac:dyDescent="0.25">
      <c r="A6" s="2" t="s">
        <v>170</v>
      </c>
      <c r="B6" s="2" t="s">
        <v>182</v>
      </c>
      <c r="C6" s="2" t="s">
        <v>197</v>
      </c>
      <c r="D6" s="2" t="s">
        <v>114</v>
      </c>
      <c r="E6" s="2" t="s">
        <v>206</v>
      </c>
      <c r="F6" s="2" t="s">
        <v>146</v>
      </c>
      <c r="G6" s="20" t="s">
        <v>113</v>
      </c>
      <c r="H6" s="2" t="s">
        <v>21</v>
      </c>
      <c r="I6" s="21" t="s">
        <v>74</v>
      </c>
      <c r="J6" s="21" t="s">
        <v>18</v>
      </c>
      <c r="K6" s="20" t="s">
        <v>12</v>
      </c>
    </row>
    <row r="7" spans="1:12" s="89" customFormat="1" x14ac:dyDescent="0.25">
      <c r="A7" s="89" t="s">
        <v>164</v>
      </c>
      <c r="B7" s="89" t="s">
        <v>183</v>
      </c>
      <c r="C7" s="89" t="s">
        <v>198</v>
      </c>
      <c r="D7" s="89" t="s">
        <v>178</v>
      </c>
      <c r="E7" s="89" t="s">
        <v>207</v>
      </c>
      <c r="F7" s="89" t="s">
        <v>11</v>
      </c>
      <c r="G7" s="86" t="s">
        <v>50</v>
      </c>
      <c r="H7" s="89" t="s">
        <v>8</v>
      </c>
      <c r="I7" s="87" t="s">
        <v>15</v>
      </c>
      <c r="J7" s="87" t="s">
        <v>74</v>
      </c>
      <c r="K7" s="86" t="s">
        <v>12</v>
      </c>
      <c r="L7" s="86"/>
    </row>
    <row r="8" spans="1:12" x14ac:dyDescent="0.25">
      <c r="A8" s="2" t="s">
        <v>171</v>
      </c>
      <c r="B8" s="2" t="s">
        <v>184</v>
      </c>
      <c r="C8" s="2" t="s">
        <v>199</v>
      </c>
      <c r="D8" s="2" t="s">
        <v>191</v>
      </c>
      <c r="E8" s="2" t="s">
        <v>21</v>
      </c>
      <c r="F8" s="2" t="s">
        <v>147</v>
      </c>
      <c r="G8" s="20" t="s">
        <v>51</v>
      </c>
      <c r="H8" s="2" t="s">
        <v>8</v>
      </c>
      <c r="I8" s="21" t="s">
        <v>16</v>
      </c>
      <c r="J8" s="21" t="s">
        <v>74</v>
      </c>
      <c r="K8" s="20" t="s">
        <v>12</v>
      </c>
    </row>
    <row r="9" spans="1:12" x14ac:dyDescent="0.25">
      <c r="A9" s="2" t="s">
        <v>172</v>
      </c>
      <c r="B9" s="2" t="s">
        <v>185</v>
      </c>
      <c r="C9" s="2" t="s">
        <v>200</v>
      </c>
      <c r="D9" s="2" t="s">
        <v>192</v>
      </c>
      <c r="E9" s="2" t="s">
        <v>8</v>
      </c>
      <c r="F9" s="2" t="s">
        <v>148</v>
      </c>
      <c r="G9" s="20" t="s">
        <v>52</v>
      </c>
      <c r="H9" s="2" t="s">
        <v>8</v>
      </c>
      <c r="I9" s="21" t="s">
        <v>17</v>
      </c>
      <c r="J9" s="21" t="s">
        <v>74</v>
      </c>
      <c r="K9" s="20" t="s">
        <v>12</v>
      </c>
    </row>
    <row r="10" spans="1:12" x14ac:dyDescent="0.25">
      <c r="A10" s="2" t="s">
        <v>173</v>
      </c>
      <c r="B10" s="2" t="s">
        <v>186</v>
      </c>
      <c r="C10" s="2" t="s">
        <v>201</v>
      </c>
      <c r="D10" s="2" t="s">
        <v>114</v>
      </c>
      <c r="E10" s="2" t="s">
        <v>206</v>
      </c>
      <c r="F10" s="2" t="s">
        <v>149</v>
      </c>
      <c r="G10" s="20" t="s">
        <v>53</v>
      </c>
      <c r="H10" s="2" t="s">
        <v>8</v>
      </c>
      <c r="I10" s="21" t="s">
        <v>18</v>
      </c>
      <c r="J10" s="21" t="s">
        <v>74</v>
      </c>
      <c r="K10" s="20" t="s">
        <v>12</v>
      </c>
    </row>
    <row r="11" spans="1:12" s="89" customFormat="1" x14ac:dyDescent="0.25">
      <c r="A11" s="89" t="s">
        <v>166</v>
      </c>
      <c r="B11" s="89" t="s">
        <v>187</v>
      </c>
      <c r="C11" s="89" t="s">
        <v>202</v>
      </c>
      <c r="D11" s="89" t="s">
        <v>178</v>
      </c>
      <c r="E11" s="89" t="s">
        <v>207</v>
      </c>
      <c r="F11" s="89" t="s">
        <v>142</v>
      </c>
      <c r="G11" s="86" t="s">
        <v>55</v>
      </c>
      <c r="H11" s="89" t="s">
        <v>62</v>
      </c>
      <c r="I11" s="87" t="s">
        <v>15</v>
      </c>
      <c r="J11" s="87" t="s">
        <v>74</v>
      </c>
      <c r="K11" s="86" t="s">
        <v>12</v>
      </c>
      <c r="L11" s="86"/>
    </row>
    <row r="12" spans="1:12" x14ac:dyDescent="0.25">
      <c r="A12" s="2" t="s">
        <v>174</v>
      </c>
      <c r="B12" s="2" t="s">
        <v>188</v>
      </c>
      <c r="C12" s="2" t="s">
        <v>203</v>
      </c>
      <c r="D12" s="2" t="s">
        <v>192</v>
      </c>
      <c r="E12" s="2" t="s">
        <v>8</v>
      </c>
      <c r="F12" s="2" t="s">
        <v>150</v>
      </c>
      <c r="G12" s="20" t="s">
        <v>56</v>
      </c>
      <c r="H12" s="2" t="s">
        <v>62</v>
      </c>
      <c r="I12" s="21" t="s">
        <v>16</v>
      </c>
      <c r="J12" s="21" t="s">
        <v>74</v>
      </c>
      <c r="K12" s="20" t="s">
        <v>12</v>
      </c>
    </row>
    <row r="13" spans="1:12" x14ac:dyDescent="0.25">
      <c r="A13" s="2" t="s">
        <v>175</v>
      </c>
      <c r="B13" s="2" t="s">
        <v>189</v>
      </c>
      <c r="C13" s="2" t="s">
        <v>204</v>
      </c>
      <c r="D13" s="2" t="s">
        <v>192</v>
      </c>
      <c r="E13" s="2" t="s">
        <v>8</v>
      </c>
      <c r="F13" s="2" t="s">
        <v>96</v>
      </c>
      <c r="G13" s="20" t="s">
        <v>57</v>
      </c>
      <c r="H13" s="2" t="s">
        <v>62</v>
      </c>
      <c r="I13" s="21" t="s">
        <v>17</v>
      </c>
      <c r="J13" s="21" t="s">
        <v>74</v>
      </c>
      <c r="K13" s="20" t="s">
        <v>12</v>
      </c>
    </row>
    <row r="14" spans="1:12" x14ac:dyDescent="0.25">
      <c r="A14" s="2" t="s">
        <v>176</v>
      </c>
      <c r="B14" s="2" t="s">
        <v>190</v>
      </c>
      <c r="C14" s="2" t="s">
        <v>205</v>
      </c>
      <c r="D14" s="2" t="s">
        <v>114</v>
      </c>
      <c r="E14" s="2" t="s">
        <v>206</v>
      </c>
      <c r="F14" s="2" t="s">
        <v>151</v>
      </c>
      <c r="G14" s="20" t="s">
        <v>58</v>
      </c>
      <c r="H14" s="2" t="s">
        <v>62</v>
      </c>
      <c r="I14" s="21" t="s">
        <v>18</v>
      </c>
      <c r="J14" s="21" t="s">
        <v>74</v>
      </c>
      <c r="K14" s="20" t="s">
        <v>12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9"/>
  <sheetViews>
    <sheetView workbookViewId="0">
      <selection activeCell="H8" sqref="H8"/>
    </sheetView>
  </sheetViews>
  <sheetFormatPr baseColWidth="10" defaultColWidth="9.140625" defaultRowHeight="15" x14ac:dyDescent="0.25"/>
  <cols>
    <col min="1" max="1" width="16.140625" style="18" customWidth="1"/>
    <col min="2" max="2" width="17.28515625" bestFit="1" customWidth="1"/>
    <col min="3" max="3" width="13.28515625" customWidth="1"/>
    <col min="4" max="4" width="17.28515625" bestFit="1" customWidth="1"/>
    <col min="5" max="5" width="14.42578125" bestFit="1" customWidth="1"/>
    <col min="6" max="6" width="17.28515625" bestFit="1" customWidth="1"/>
    <col min="7" max="7" width="15.7109375" bestFit="1" customWidth="1"/>
    <col min="8" max="8" width="15.42578125" bestFit="1" customWidth="1"/>
    <col min="9" max="9" width="13.7109375" bestFit="1" customWidth="1"/>
  </cols>
  <sheetData>
    <row r="1" spans="1:20" s="3" customFormat="1" ht="15.75" thickBot="1" x14ac:dyDescent="0.3">
      <c r="A1" s="6" t="s">
        <v>25</v>
      </c>
      <c r="B1" s="78" t="s">
        <v>72</v>
      </c>
      <c r="C1" s="79"/>
      <c r="D1" s="79"/>
      <c r="E1" s="79"/>
      <c r="F1" s="79"/>
      <c r="G1" s="79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17"/>
    </row>
    <row r="2" spans="1:20" s="3" customFormat="1" x14ac:dyDescent="0.25">
      <c r="A2" s="60"/>
      <c r="B2" s="61">
        <v>0</v>
      </c>
      <c r="C2" s="61">
        <v>1</v>
      </c>
      <c r="D2" s="61">
        <v>2</v>
      </c>
      <c r="E2" s="61">
        <v>3</v>
      </c>
      <c r="F2" s="61">
        <v>4</v>
      </c>
      <c r="G2" s="61">
        <v>5</v>
      </c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17"/>
    </row>
    <row r="3" spans="1:20" x14ac:dyDescent="0.25">
      <c r="A3" s="62" t="s">
        <v>34</v>
      </c>
      <c r="B3" s="62" t="s">
        <v>36</v>
      </c>
      <c r="C3" s="62" t="s">
        <v>35</v>
      </c>
      <c r="D3" s="62"/>
      <c r="E3" s="62"/>
      <c r="F3" s="62"/>
      <c r="G3" s="62"/>
    </row>
    <row r="4" spans="1:20" x14ac:dyDescent="0.25">
      <c r="A4" s="62" t="s">
        <v>40</v>
      </c>
      <c r="B4" s="62" t="s">
        <v>132</v>
      </c>
      <c r="C4" s="62" t="s">
        <v>31</v>
      </c>
      <c r="D4" s="62" t="s">
        <v>32</v>
      </c>
      <c r="E4" s="62" t="s">
        <v>121</v>
      </c>
      <c r="F4" s="62" t="s">
        <v>37</v>
      </c>
      <c r="G4" s="62" t="s">
        <v>38</v>
      </c>
    </row>
    <row r="5" spans="1:20" x14ac:dyDescent="0.25">
      <c r="A5" s="62" t="s">
        <v>63</v>
      </c>
      <c r="B5" s="62" t="s">
        <v>27</v>
      </c>
      <c r="C5" s="62" t="s">
        <v>26</v>
      </c>
      <c r="D5" s="62" t="s">
        <v>127</v>
      </c>
      <c r="E5" s="62"/>
      <c r="F5" s="62"/>
      <c r="G5" s="62"/>
    </row>
    <row r="6" spans="1:20" x14ac:dyDescent="0.25">
      <c r="A6" s="62" t="s">
        <v>33</v>
      </c>
      <c r="B6" s="62" t="s">
        <v>29</v>
      </c>
      <c r="C6" s="62" t="s">
        <v>28</v>
      </c>
      <c r="D6" s="62"/>
      <c r="E6" s="62"/>
      <c r="F6" s="62"/>
      <c r="G6" s="62"/>
    </row>
    <row r="7" spans="1:20" x14ac:dyDescent="0.25">
      <c r="A7" s="62" t="s">
        <v>39</v>
      </c>
      <c r="B7" s="63" t="b">
        <v>0</v>
      </c>
      <c r="C7" s="63" t="b">
        <v>1</v>
      </c>
      <c r="D7" s="62"/>
      <c r="E7" s="62"/>
      <c r="F7" s="62"/>
      <c r="G7" s="62"/>
    </row>
    <row r="8" spans="1:20" x14ac:dyDescent="0.25">
      <c r="A8" s="64" t="s">
        <v>60</v>
      </c>
      <c r="B8" s="81" t="s">
        <v>162</v>
      </c>
      <c r="C8" s="81"/>
      <c r="D8" s="81"/>
      <c r="E8" s="81"/>
      <c r="F8" s="81"/>
      <c r="G8" s="81"/>
      <c r="H8" t="s">
        <v>209</v>
      </c>
    </row>
    <row r="9" spans="1:20" x14ac:dyDescent="0.25">
      <c r="A9" s="62" t="s">
        <v>61</v>
      </c>
      <c r="B9" s="81" t="s">
        <v>163</v>
      </c>
      <c r="C9" s="81"/>
      <c r="D9" s="81"/>
      <c r="E9" s="81"/>
      <c r="F9" s="81"/>
      <c r="G9" s="81"/>
      <c r="H9" t="s">
        <v>208</v>
      </c>
    </row>
  </sheetData>
  <mergeCells count="3">
    <mergeCell ref="B1:S1"/>
    <mergeCell ref="B8:G8"/>
    <mergeCell ref="B9:G9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2"/>
  <sheetViews>
    <sheetView workbookViewId="0">
      <selection activeCell="F9" sqref="F9"/>
    </sheetView>
  </sheetViews>
  <sheetFormatPr baseColWidth="10" defaultColWidth="9.140625" defaultRowHeight="15" x14ac:dyDescent="0.25"/>
  <cols>
    <col min="1" max="1" width="28.140625" style="4" customWidth="1"/>
    <col min="2" max="2" width="19.42578125" style="21" customWidth="1"/>
    <col min="3" max="3" width="9.5703125" style="4" bestFit="1" customWidth="1"/>
    <col min="4" max="4" width="9.7109375" style="21" customWidth="1"/>
    <col min="5" max="5" width="10.140625" style="4" customWidth="1"/>
    <col min="6" max="6" width="20.28515625" style="21" customWidth="1"/>
    <col min="7" max="7" width="9.85546875" style="4" bestFit="1" customWidth="1"/>
    <col min="8" max="8" width="53" style="21" customWidth="1"/>
    <col min="9" max="16384" width="9.140625" style="4"/>
  </cols>
  <sheetData>
    <row r="1" spans="1:8" s="5" customFormat="1" ht="30.75" thickBot="1" x14ac:dyDescent="0.3">
      <c r="A1" s="15" t="s">
        <v>1</v>
      </c>
      <c r="B1" s="16" t="s">
        <v>2</v>
      </c>
      <c r="C1" s="19" t="s">
        <v>5</v>
      </c>
      <c r="D1" s="16" t="s">
        <v>6</v>
      </c>
      <c r="E1" s="19" t="s">
        <v>23</v>
      </c>
      <c r="F1" s="16" t="s">
        <v>30</v>
      </c>
      <c r="G1" s="19" t="s">
        <v>3</v>
      </c>
      <c r="H1" s="16" t="s">
        <v>41</v>
      </c>
    </row>
    <row r="2" spans="1:8" x14ac:dyDescent="0.25">
      <c r="A2" s="85" t="s">
        <v>116</v>
      </c>
      <c r="B2" s="86" t="s">
        <v>115</v>
      </c>
      <c r="C2" s="85">
        <v>0</v>
      </c>
      <c r="D2" s="87">
        <v>0</v>
      </c>
      <c r="E2" s="85">
        <v>4</v>
      </c>
      <c r="F2" s="87" t="s">
        <v>40</v>
      </c>
      <c r="G2" s="85" t="s">
        <v>24</v>
      </c>
      <c r="H2" s="87" t="s">
        <v>157</v>
      </c>
    </row>
    <row r="3" spans="1:8" x14ac:dyDescent="0.25">
      <c r="A3" s="85" t="s">
        <v>117</v>
      </c>
      <c r="B3" s="86" t="s">
        <v>110</v>
      </c>
      <c r="C3" s="85">
        <v>0</v>
      </c>
      <c r="D3" s="87">
        <v>0</v>
      </c>
      <c r="E3" s="85">
        <v>4</v>
      </c>
      <c r="F3" s="87" t="s">
        <v>40</v>
      </c>
      <c r="G3" s="85" t="s">
        <v>24</v>
      </c>
      <c r="H3" s="87" t="s">
        <v>158</v>
      </c>
    </row>
    <row r="4" spans="1:8" x14ac:dyDescent="0.25">
      <c r="A4" s="4" t="s">
        <v>118</v>
      </c>
      <c r="B4" s="20" t="s">
        <v>111</v>
      </c>
      <c r="C4" s="4">
        <v>0</v>
      </c>
      <c r="D4" s="21">
        <v>0</v>
      </c>
      <c r="E4" s="4">
        <v>4</v>
      </c>
      <c r="F4" s="21" t="s">
        <v>40</v>
      </c>
      <c r="G4" s="4" t="s">
        <v>24</v>
      </c>
      <c r="H4" s="21" t="s">
        <v>159</v>
      </c>
    </row>
    <row r="5" spans="1:8" x14ac:dyDescent="0.25">
      <c r="A5" s="4" t="s">
        <v>119</v>
      </c>
      <c r="B5" s="20" t="s">
        <v>112</v>
      </c>
      <c r="C5" s="4">
        <v>0</v>
      </c>
      <c r="D5" s="21">
        <v>0</v>
      </c>
      <c r="E5" s="4">
        <v>4</v>
      </c>
      <c r="F5" s="21" t="s">
        <v>40</v>
      </c>
      <c r="G5" s="4" t="s">
        <v>24</v>
      </c>
      <c r="H5" s="21" t="s">
        <v>160</v>
      </c>
    </row>
    <row r="6" spans="1:8" x14ac:dyDescent="0.25">
      <c r="A6" s="4" t="s">
        <v>120</v>
      </c>
      <c r="B6" s="20" t="s">
        <v>113</v>
      </c>
      <c r="C6" s="4">
        <v>0</v>
      </c>
      <c r="D6" s="21">
        <v>0</v>
      </c>
      <c r="E6" s="4">
        <v>4</v>
      </c>
      <c r="F6" s="21" t="s">
        <v>40</v>
      </c>
      <c r="G6" s="4" t="s">
        <v>24</v>
      </c>
      <c r="H6" s="21" t="s">
        <v>161</v>
      </c>
    </row>
    <row r="7" spans="1:8" x14ac:dyDescent="0.25">
      <c r="A7" s="85" t="s">
        <v>42</v>
      </c>
      <c r="B7" s="86" t="s">
        <v>50</v>
      </c>
      <c r="C7" s="85">
        <v>0</v>
      </c>
      <c r="D7" s="87">
        <v>0</v>
      </c>
      <c r="E7" s="85">
        <v>2</v>
      </c>
      <c r="F7" s="88" t="s">
        <v>63</v>
      </c>
      <c r="G7" s="85" t="s">
        <v>24</v>
      </c>
      <c r="H7" s="87" t="s">
        <v>153</v>
      </c>
    </row>
    <row r="8" spans="1:8" x14ac:dyDescent="0.25">
      <c r="A8" s="85" t="s">
        <v>46</v>
      </c>
      <c r="B8" s="86" t="s">
        <v>50</v>
      </c>
      <c r="C8" s="85">
        <v>1</v>
      </c>
      <c r="D8" s="87">
        <v>0</v>
      </c>
      <c r="E8" s="85">
        <v>1</v>
      </c>
      <c r="F8" s="87" t="s">
        <v>39</v>
      </c>
      <c r="G8" s="85" t="s">
        <v>24</v>
      </c>
      <c r="H8" s="87" t="s">
        <v>154</v>
      </c>
    </row>
    <row r="9" spans="1:8" x14ac:dyDescent="0.25">
      <c r="A9" s="85" t="s">
        <v>59</v>
      </c>
      <c r="B9" s="86" t="s">
        <v>55</v>
      </c>
      <c r="C9" s="85">
        <v>0</v>
      </c>
      <c r="D9" s="87">
        <v>0</v>
      </c>
      <c r="E9" s="85">
        <v>8</v>
      </c>
      <c r="F9" s="87" t="s">
        <v>61</v>
      </c>
      <c r="G9" s="85" t="s">
        <v>24</v>
      </c>
      <c r="H9" s="87" t="s">
        <v>155</v>
      </c>
    </row>
    <row r="10" spans="1:8" x14ac:dyDescent="0.25">
      <c r="A10" s="85" t="s">
        <v>54</v>
      </c>
      <c r="B10" s="86" t="s">
        <v>55</v>
      </c>
      <c r="C10" s="85">
        <v>1</v>
      </c>
      <c r="D10" s="87">
        <v>0</v>
      </c>
      <c r="E10" s="85">
        <v>48</v>
      </c>
      <c r="F10" s="87" t="s">
        <v>60</v>
      </c>
      <c r="G10" s="85" t="s">
        <v>24</v>
      </c>
      <c r="H10" s="87" t="s">
        <v>156</v>
      </c>
    </row>
    <row r="11" spans="1:8" x14ac:dyDescent="0.25">
      <c r="A11" s="4" t="s">
        <v>43</v>
      </c>
      <c r="B11" s="20" t="s">
        <v>51</v>
      </c>
      <c r="C11" s="4">
        <v>0</v>
      </c>
      <c r="D11" s="21">
        <v>0</v>
      </c>
      <c r="E11" s="4">
        <v>2</v>
      </c>
      <c r="F11" s="18" t="s">
        <v>63</v>
      </c>
      <c r="G11" s="4" t="s">
        <v>24</v>
      </c>
      <c r="H11" s="21" t="s">
        <v>153</v>
      </c>
    </row>
    <row r="12" spans="1:8" x14ac:dyDescent="0.25">
      <c r="A12" s="4" t="s">
        <v>47</v>
      </c>
      <c r="B12" s="20" t="s">
        <v>51</v>
      </c>
      <c r="C12" s="4">
        <v>1</v>
      </c>
      <c r="D12" s="21">
        <v>0</v>
      </c>
      <c r="E12" s="4">
        <v>1</v>
      </c>
      <c r="F12" s="21" t="s">
        <v>39</v>
      </c>
      <c r="G12" s="4" t="s">
        <v>24</v>
      </c>
      <c r="H12" s="21" t="s">
        <v>154</v>
      </c>
    </row>
    <row r="13" spans="1:8" x14ac:dyDescent="0.25">
      <c r="A13" s="4" t="s">
        <v>64</v>
      </c>
      <c r="B13" s="20" t="s">
        <v>56</v>
      </c>
      <c r="C13" s="4">
        <v>0</v>
      </c>
      <c r="D13" s="21">
        <v>0</v>
      </c>
      <c r="E13" s="4">
        <v>8</v>
      </c>
      <c r="F13" s="21" t="s">
        <v>61</v>
      </c>
      <c r="G13" s="4" t="s">
        <v>24</v>
      </c>
      <c r="H13" s="21" t="s">
        <v>155</v>
      </c>
    </row>
    <row r="14" spans="1:8" x14ac:dyDescent="0.25">
      <c r="A14" s="4" t="s">
        <v>65</v>
      </c>
      <c r="B14" s="20" t="s">
        <v>56</v>
      </c>
      <c r="C14" s="4">
        <v>1</v>
      </c>
      <c r="D14" s="21">
        <v>0</v>
      </c>
      <c r="E14" s="4">
        <v>48</v>
      </c>
      <c r="F14" s="21" t="s">
        <v>60</v>
      </c>
      <c r="G14" s="4" t="s">
        <v>24</v>
      </c>
      <c r="H14" s="21" t="s">
        <v>156</v>
      </c>
    </row>
    <row r="15" spans="1:8" x14ac:dyDescent="0.25">
      <c r="A15" s="4" t="s">
        <v>44</v>
      </c>
      <c r="B15" s="20" t="s">
        <v>52</v>
      </c>
      <c r="C15" s="4">
        <v>0</v>
      </c>
      <c r="D15" s="21">
        <v>0</v>
      </c>
      <c r="E15" s="4">
        <v>2</v>
      </c>
      <c r="F15" s="18" t="s">
        <v>63</v>
      </c>
      <c r="G15" s="4" t="s">
        <v>24</v>
      </c>
      <c r="H15" s="21" t="s">
        <v>153</v>
      </c>
    </row>
    <row r="16" spans="1:8" x14ac:dyDescent="0.25">
      <c r="A16" s="4" t="s">
        <v>48</v>
      </c>
      <c r="B16" s="20" t="s">
        <v>52</v>
      </c>
      <c r="C16" s="4">
        <v>1</v>
      </c>
      <c r="D16" s="21">
        <v>0</v>
      </c>
      <c r="E16" s="4">
        <v>1</v>
      </c>
      <c r="F16" s="21" t="s">
        <v>39</v>
      </c>
      <c r="G16" s="4" t="s">
        <v>24</v>
      </c>
      <c r="H16" s="21" t="s">
        <v>154</v>
      </c>
    </row>
    <row r="17" spans="1:8" x14ac:dyDescent="0.25">
      <c r="A17" s="4" t="s">
        <v>66</v>
      </c>
      <c r="B17" s="20" t="s">
        <v>57</v>
      </c>
      <c r="C17" s="4">
        <v>0</v>
      </c>
      <c r="D17" s="21">
        <v>0</v>
      </c>
      <c r="E17" s="4">
        <v>8</v>
      </c>
      <c r="F17" s="21" t="s">
        <v>61</v>
      </c>
      <c r="G17" s="4" t="s">
        <v>24</v>
      </c>
      <c r="H17" s="21" t="s">
        <v>155</v>
      </c>
    </row>
    <row r="18" spans="1:8" x14ac:dyDescent="0.25">
      <c r="A18" s="4" t="s">
        <v>67</v>
      </c>
      <c r="B18" s="20" t="s">
        <v>57</v>
      </c>
      <c r="C18" s="4">
        <v>1</v>
      </c>
      <c r="D18" s="21">
        <v>0</v>
      </c>
      <c r="E18" s="4">
        <v>48</v>
      </c>
      <c r="F18" s="21" t="s">
        <v>60</v>
      </c>
      <c r="G18" s="4" t="s">
        <v>24</v>
      </c>
      <c r="H18" s="21" t="s">
        <v>156</v>
      </c>
    </row>
    <row r="19" spans="1:8" x14ac:dyDescent="0.25">
      <c r="A19" s="4" t="s">
        <v>45</v>
      </c>
      <c r="B19" s="20" t="s">
        <v>53</v>
      </c>
      <c r="C19" s="4">
        <v>0</v>
      </c>
      <c r="D19" s="21">
        <v>0</v>
      </c>
      <c r="E19" s="4">
        <v>2</v>
      </c>
      <c r="F19" s="18" t="s">
        <v>63</v>
      </c>
      <c r="G19" s="4" t="s">
        <v>24</v>
      </c>
      <c r="H19" s="21" t="s">
        <v>153</v>
      </c>
    </row>
    <row r="20" spans="1:8" x14ac:dyDescent="0.25">
      <c r="A20" s="4" t="s">
        <v>49</v>
      </c>
      <c r="B20" s="20" t="s">
        <v>53</v>
      </c>
      <c r="C20" s="4">
        <v>1</v>
      </c>
      <c r="D20" s="21">
        <v>0</v>
      </c>
      <c r="E20" s="4">
        <v>1</v>
      </c>
      <c r="F20" s="21" t="s">
        <v>39</v>
      </c>
      <c r="G20" s="4" t="s">
        <v>24</v>
      </c>
      <c r="H20" s="21" t="s">
        <v>154</v>
      </c>
    </row>
    <row r="21" spans="1:8" x14ac:dyDescent="0.25">
      <c r="A21" s="4" t="s">
        <v>68</v>
      </c>
      <c r="B21" s="20" t="s">
        <v>58</v>
      </c>
      <c r="C21" s="4">
        <v>0</v>
      </c>
      <c r="D21" s="21">
        <v>0</v>
      </c>
      <c r="E21" s="4">
        <v>8</v>
      </c>
      <c r="F21" s="21" t="s">
        <v>61</v>
      </c>
      <c r="G21" s="4" t="s">
        <v>24</v>
      </c>
      <c r="H21" s="21" t="s">
        <v>155</v>
      </c>
    </row>
    <row r="22" spans="1:8" x14ac:dyDescent="0.25">
      <c r="A22" s="4" t="s">
        <v>69</v>
      </c>
      <c r="B22" s="20" t="s">
        <v>58</v>
      </c>
      <c r="C22" s="4">
        <v>1</v>
      </c>
      <c r="D22" s="21">
        <v>0</v>
      </c>
      <c r="E22" s="4">
        <v>48</v>
      </c>
      <c r="F22" s="21" t="s">
        <v>60</v>
      </c>
      <c r="G22" s="4" t="s">
        <v>24</v>
      </c>
      <c r="H22" s="21" t="s">
        <v>156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K5"/>
  <sheetViews>
    <sheetView tabSelected="1" workbookViewId="0">
      <selection activeCell="F9" sqref="F9"/>
    </sheetView>
  </sheetViews>
  <sheetFormatPr baseColWidth="10" defaultColWidth="19.42578125" defaultRowHeight="15" x14ac:dyDescent="0.25"/>
  <cols>
    <col min="1" max="1" width="24.42578125" style="21" customWidth="1"/>
    <col min="2" max="2" width="11.85546875" style="4" customWidth="1"/>
    <col min="3" max="3" width="0.85546875" style="56" customWidth="1"/>
    <col min="4" max="4" width="19.42578125" style="21"/>
    <col min="5" max="5" width="5.28515625" style="4" bestFit="1" customWidth="1"/>
    <col min="6" max="6" width="19.42578125" style="21"/>
    <col min="7" max="7" width="5.28515625" style="4" bestFit="1" customWidth="1"/>
    <col min="8" max="8" width="19.42578125" style="21"/>
    <col min="9" max="9" width="5.28515625" style="4" bestFit="1" customWidth="1"/>
    <col min="10" max="10" width="19.42578125" style="21"/>
    <col min="11" max="11" width="5.28515625" style="4" bestFit="1" customWidth="1"/>
    <col min="12" max="12" width="19.42578125" style="21"/>
    <col min="13" max="13" width="5.28515625" style="21" bestFit="1" customWidth="1"/>
    <col min="14" max="14" width="19.42578125" style="21"/>
    <col min="15" max="15" width="5.28515625" style="21" bestFit="1" customWidth="1"/>
    <col min="16" max="16" width="19.42578125" style="21"/>
    <col min="17" max="17" width="5.28515625" style="21" bestFit="1" customWidth="1"/>
    <col min="18" max="18" width="19.42578125" style="21"/>
    <col min="19" max="19" width="5.28515625" style="21" bestFit="1" customWidth="1"/>
    <col min="20" max="20" width="19.42578125" style="21"/>
    <col min="21" max="21" width="5.28515625" style="21" bestFit="1" customWidth="1"/>
    <col min="22" max="22" width="19.42578125" style="21"/>
    <col min="23" max="23" width="5.28515625" style="21" bestFit="1" customWidth="1"/>
    <col min="24" max="24" width="19.42578125" style="21"/>
    <col min="25" max="25" width="5.28515625" style="21" bestFit="1" customWidth="1"/>
    <col min="26" max="26" width="19.42578125" style="21"/>
    <col min="27" max="27" width="5.28515625" style="21" bestFit="1" customWidth="1"/>
    <col min="28" max="28" width="19.42578125" style="21"/>
    <col min="29" max="29" width="5.28515625" style="21" bestFit="1" customWidth="1"/>
    <col min="30" max="30" width="19.42578125" style="21"/>
    <col min="31" max="31" width="5.28515625" style="21" bestFit="1" customWidth="1"/>
    <col min="32" max="32" width="19.42578125" style="21"/>
    <col min="33" max="33" width="5.28515625" style="21" bestFit="1" customWidth="1"/>
    <col min="34" max="34" width="19.42578125" style="21"/>
    <col min="35" max="35" width="5.28515625" style="21" bestFit="1" customWidth="1"/>
    <col min="36" max="36" width="19.42578125" style="21"/>
    <col min="37" max="37" width="5.28515625" style="21" bestFit="1" customWidth="1"/>
    <col min="38" max="16384" width="19.42578125" style="4"/>
  </cols>
  <sheetData>
    <row r="1" spans="1:37" ht="30.75" thickBot="1" x14ac:dyDescent="0.3">
      <c r="A1" s="16" t="s">
        <v>70</v>
      </c>
      <c r="B1" s="19" t="s">
        <v>76</v>
      </c>
      <c r="C1" s="55"/>
      <c r="D1" s="16" t="s">
        <v>71</v>
      </c>
      <c r="E1" s="19" t="s">
        <v>75</v>
      </c>
      <c r="F1" s="16" t="s">
        <v>71</v>
      </c>
      <c r="G1" s="19" t="s">
        <v>75</v>
      </c>
      <c r="H1" s="16" t="s">
        <v>71</v>
      </c>
      <c r="I1" s="19" t="s">
        <v>75</v>
      </c>
      <c r="J1" s="16" t="s">
        <v>71</v>
      </c>
      <c r="K1" s="19" t="s">
        <v>75</v>
      </c>
      <c r="L1" s="16" t="s">
        <v>71</v>
      </c>
      <c r="M1" s="16" t="s">
        <v>75</v>
      </c>
      <c r="N1" s="16" t="s">
        <v>71</v>
      </c>
      <c r="O1" s="16" t="s">
        <v>75</v>
      </c>
      <c r="P1" s="16" t="s">
        <v>71</v>
      </c>
      <c r="Q1" s="16" t="s">
        <v>75</v>
      </c>
      <c r="R1" s="16" t="s">
        <v>71</v>
      </c>
      <c r="S1" s="16" t="s">
        <v>75</v>
      </c>
      <c r="T1" s="16" t="s">
        <v>71</v>
      </c>
      <c r="U1" s="16" t="s">
        <v>75</v>
      </c>
      <c r="V1" s="16" t="s">
        <v>71</v>
      </c>
      <c r="W1" s="16" t="s">
        <v>75</v>
      </c>
      <c r="X1" s="16" t="s">
        <v>71</v>
      </c>
      <c r="Y1" s="16" t="s">
        <v>75</v>
      </c>
      <c r="Z1" s="16" t="s">
        <v>71</v>
      </c>
      <c r="AA1" s="16" t="s">
        <v>75</v>
      </c>
      <c r="AB1" s="16" t="s">
        <v>71</v>
      </c>
      <c r="AC1" s="16" t="s">
        <v>75</v>
      </c>
      <c r="AD1" s="16" t="s">
        <v>71</v>
      </c>
      <c r="AE1" s="16" t="s">
        <v>75</v>
      </c>
      <c r="AF1" s="16" t="s">
        <v>71</v>
      </c>
      <c r="AG1" s="16" t="s">
        <v>75</v>
      </c>
      <c r="AH1" s="16" t="s">
        <v>71</v>
      </c>
      <c r="AI1" s="16" t="s">
        <v>75</v>
      </c>
      <c r="AJ1" s="16" t="s">
        <v>71</v>
      </c>
      <c r="AK1" s="16" t="s">
        <v>75</v>
      </c>
    </row>
    <row r="2" spans="1:37" x14ac:dyDescent="0.25">
      <c r="A2" s="21" t="s">
        <v>123</v>
      </c>
      <c r="B2" s="4" t="s">
        <v>9</v>
      </c>
      <c r="D2" s="20" t="s">
        <v>55</v>
      </c>
      <c r="E2" s="4">
        <v>12</v>
      </c>
      <c r="F2" s="20" t="s">
        <v>56</v>
      </c>
      <c r="G2" s="4">
        <v>12</v>
      </c>
      <c r="H2" s="20" t="s">
        <v>57</v>
      </c>
      <c r="I2" s="4">
        <v>12</v>
      </c>
      <c r="J2" s="20" t="s">
        <v>58</v>
      </c>
      <c r="K2" s="4">
        <v>12</v>
      </c>
      <c r="L2" s="20"/>
      <c r="N2" s="20"/>
      <c r="P2" s="20"/>
      <c r="R2" s="20"/>
      <c r="T2" s="20"/>
      <c r="V2" s="20"/>
      <c r="X2" s="20"/>
      <c r="Z2" s="20"/>
      <c r="AB2" s="20"/>
      <c r="AD2" s="20"/>
      <c r="AF2" s="20"/>
      <c r="AH2" s="20"/>
      <c r="AJ2" s="20"/>
    </row>
    <row r="3" spans="1:37" x14ac:dyDescent="0.25">
      <c r="A3" s="21" t="s">
        <v>125</v>
      </c>
      <c r="B3" s="4" t="s">
        <v>10</v>
      </c>
      <c r="D3" s="20" t="s">
        <v>110</v>
      </c>
      <c r="E3" s="4">
        <v>10</v>
      </c>
      <c r="F3" s="20" t="s">
        <v>50</v>
      </c>
      <c r="G3" s="4">
        <v>5</v>
      </c>
      <c r="H3" s="20" t="s">
        <v>111</v>
      </c>
      <c r="I3" s="4">
        <v>10</v>
      </c>
      <c r="J3" s="20" t="s">
        <v>51</v>
      </c>
      <c r="K3" s="4">
        <v>5</v>
      </c>
      <c r="L3" s="20" t="s">
        <v>112</v>
      </c>
      <c r="M3" s="4">
        <v>10</v>
      </c>
      <c r="N3" s="20" t="s">
        <v>52</v>
      </c>
      <c r="O3" s="21">
        <v>5</v>
      </c>
      <c r="P3" s="20" t="s">
        <v>113</v>
      </c>
      <c r="Q3" s="21">
        <v>10</v>
      </c>
      <c r="R3" s="20" t="s">
        <v>53</v>
      </c>
      <c r="S3" s="4">
        <v>5</v>
      </c>
      <c r="T3" s="20"/>
      <c r="V3" s="20"/>
      <c r="X3" s="20"/>
      <c r="Z3" s="20"/>
      <c r="AB3" s="20"/>
      <c r="AD3" s="20"/>
      <c r="AF3" s="20"/>
      <c r="AH3" s="20"/>
      <c r="AJ3" s="20"/>
    </row>
    <row r="4" spans="1:37" x14ac:dyDescent="0.25">
      <c r="A4" s="21" t="s">
        <v>124</v>
      </c>
      <c r="B4" s="4" t="s">
        <v>9</v>
      </c>
      <c r="D4" s="20" t="s">
        <v>115</v>
      </c>
      <c r="E4" s="4">
        <v>10</v>
      </c>
      <c r="F4" s="20" t="s">
        <v>50</v>
      </c>
      <c r="G4" s="4">
        <v>5</v>
      </c>
      <c r="H4" s="20" t="s">
        <v>51</v>
      </c>
      <c r="I4" s="4">
        <v>5</v>
      </c>
      <c r="J4" s="20" t="s">
        <v>52</v>
      </c>
      <c r="K4" s="4">
        <v>5</v>
      </c>
      <c r="L4" s="20" t="s">
        <v>53</v>
      </c>
      <c r="M4" s="4">
        <v>5</v>
      </c>
    </row>
    <row r="5" spans="1:37" x14ac:dyDescent="0.25">
      <c r="A5" s="21" t="s">
        <v>134</v>
      </c>
      <c r="B5" s="4" t="s">
        <v>9</v>
      </c>
      <c r="D5" s="20" t="s">
        <v>55</v>
      </c>
      <c r="E5" s="4">
        <v>12</v>
      </c>
      <c r="F5" s="20" t="s">
        <v>56</v>
      </c>
      <c r="G5" s="4">
        <v>12</v>
      </c>
      <c r="H5" s="20" t="s">
        <v>57</v>
      </c>
      <c r="I5" s="4">
        <v>12</v>
      </c>
      <c r="J5" s="20" t="s">
        <v>58</v>
      </c>
      <c r="K5" s="4">
        <v>12</v>
      </c>
      <c r="L5" s="20" t="s">
        <v>110</v>
      </c>
      <c r="M5" s="4">
        <v>10</v>
      </c>
      <c r="N5" s="20" t="s">
        <v>50</v>
      </c>
      <c r="O5" s="4">
        <v>5</v>
      </c>
      <c r="P5" s="20" t="s">
        <v>111</v>
      </c>
      <c r="Q5" s="4">
        <v>10</v>
      </c>
      <c r="R5" s="20" t="s">
        <v>51</v>
      </c>
      <c r="S5" s="4">
        <v>5</v>
      </c>
      <c r="T5" s="20" t="s">
        <v>112</v>
      </c>
      <c r="U5" s="4">
        <v>10</v>
      </c>
      <c r="V5" s="20" t="s">
        <v>52</v>
      </c>
      <c r="W5" s="21">
        <v>5</v>
      </c>
      <c r="X5" s="20" t="s">
        <v>113</v>
      </c>
      <c r="Y5" s="21">
        <v>10</v>
      </c>
      <c r="Z5" s="20" t="s">
        <v>53</v>
      </c>
      <c r="AA5" s="4">
        <v>5</v>
      </c>
      <c r="AB5" s="20" t="s">
        <v>115</v>
      </c>
      <c r="AC5" s="4">
        <v>10</v>
      </c>
      <c r="AD5" s="20" t="s">
        <v>50</v>
      </c>
      <c r="AE5" s="4">
        <v>5</v>
      </c>
      <c r="AF5" s="20" t="s">
        <v>51</v>
      </c>
      <c r="AG5" s="4">
        <v>5</v>
      </c>
      <c r="AH5" s="20" t="s">
        <v>52</v>
      </c>
      <c r="AI5" s="4">
        <v>5</v>
      </c>
      <c r="AJ5" s="20" t="s">
        <v>53</v>
      </c>
      <c r="AK5" s="4">
        <v>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17"/>
  <sheetViews>
    <sheetView workbookViewId="0">
      <selection activeCell="B18" sqref="B18"/>
    </sheetView>
  </sheetViews>
  <sheetFormatPr baseColWidth="10" defaultColWidth="9.140625" defaultRowHeight="15" x14ac:dyDescent="0.25"/>
  <cols>
    <col min="1" max="1" width="21" style="3" bestFit="1" customWidth="1"/>
    <col min="2" max="2" width="22.7109375" customWidth="1"/>
    <col min="8" max="8" width="14.140625" bestFit="1" customWidth="1"/>
  </cols>
  <sheetData>
    <row r="1" spans="1:3" ht="15.75" thickBot="1" x14ac:dyDescent="0.3">
      <c r="A1" s="6" t="s">
        <v>77</v>
      </c>
      <c r="B1" s="26" t="s">
        <v>80</v>
      </c>
      <c r="C1" s="26">
        <v>10</v>
      </c>
    </row>
    <row r="2" spans="1:3" ht="15.75" thickBot="1" x14ac:dyDescent="0.3">
      <c r="A2" s="6" t="s">
        <v>78</v>
      </c>
      <c r="B2" s="18" t="s">
        <v>81</v>
      </c>
      <c r="C2" s="18">
        <v>13</v>
      </c>
    </row>
    <row r="3" spans="1:3" ht="15.75" thickBot="1" x14ac:dyDescent="0.3">
      <c r="A3" s="6" t="s">
        <v>79</v>
      </c>
      <c r="B3" s="26" t="s">
        <v>152</v>
      </c>
      <c r="C3" s="26" t="s">
        <v>24</v>
      </c>
    </row>
    <row r="4" spans="1:3" x14ac:dyDescent="0.25">
      <c r="A4" s="82" t="s">
        <v>79</v>
      </c>
      <c r="B4" s="27" t="s">
        <v>82</v>
      </c>
      <c r="C4" s="27" t="s">
        <v>4</v>
      </c>
    </row>
    <row r="5" spans="1:3" x14ac:dyDescent="0.25">
      <c r="A5" s="83"/>
      <c r="B5" s="18" t="s">
        <v>83</v>
      </c>
      <c r="C5" s="18" t="s">
        <v>4</v>
      </c>
    </row>
    <row r="6" spans="1:3" x14ac:dyDescent="0.25">
      <c r="A6" s="83"/>
      <c r="B6" s="18" t="s">
        <v>84</v>
      </c>
      <c r="C6" s="18"/>
    </row>
    <row r="7" spans="1:3" x14ac:dyDescent="0.25">
      <c r="A7" s="83"/>
      <c r="B7" s="18" t="s">
        <v>85</v>
      </c>
      <c r="C7" s="18"/>
    </row>
    <row r="8" spans="1:3" x14ac:dyDescent="0.25">
      <c r="A8" s="83"/>
      <c r="B8" s="18" t="s">
        <v>86</v>
      </c>
      <c r="C8" s="18"/>
    </row>
    <row r="9" spans="1:3" x14ac:dyDescent="0.25">
      <c r="A9" s="83"/>
      <c r="B9" s="18" t="s">
        <v>87</v>
      </c>
      <c r="C9" s="18"/>
    </row>
    <row r="10" spans="1:3" x14ac:dyDescent="0.25">
      <c r="A10" s="83"/>
      <c r="B10" s="18" t="s">
        <v>88</v>
      </c>
      <c r="C10" s="18"/>
    </row>
    <row r="11" spans="1:3" x14ac:dyDescent="0.25">
      <c r="A11" s="83"/>
      <c r="B11" s="18" t="s">
        <v>89</v>
      </c>
      <c r="C11" s="18"/>
    </row>
    <row r="12" spans="1:3" x14ac:dyDescent="0.25">
      <c r="A12" s="83"/>
      <c r="B12" s="18" t="s">
        <v>90</v>
      </c>
      <c r="C12" s="18"/>
    </row>
    <row r="13" spans="1:3" x14ac:dyDescent="0.25">
      <c r="A13" s="83"/>
      <c r="B13" s="18" t="s">
        <v>91</v>
      </c>
      <c r="C13" s="18"/>
    </row>
    <row r="14" spans="1:3" x14ac:dyDescent="0.25">
      <c r="A14" s="83"/>
      <c r="B14" s="18" t="s">
        <v>92</v>
      </c>
      <c r="C14" s="18"/>
    </row>
    <row r="15" spans="1:3" x14ac:dyDescent="0.25">
      <c r="A15" s="83"/>
      <c r="B15" s="18" t="s">
        <v>93</v>
      </c>
      <c r="C15" s="18"/>
    </row>
    <row r="16" spans="1:3" x14ac:dyDescent="0.25">
      <c r="A16" s="83"/>
      <c r="B16" s="18" t="s">
        <v>94</v>
      </c>
      <c r="C16" s="18"/>
    </row>
    <row r="17" spans="1:3" ht="15.75" thickBot="1" x14ac:dyDescent="0.3">
      <c r="A17" s="84"/>
      <c r="B17" s="28" t="s">
        <v>95</v>
      </c>
      <c r="C17" s="28"/>
    </row>
  </sheetData>
  <mergeCells count="1">
    <mergeCell ref="A4:A1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J11"/>
  <sheetViews>
    <sheetView workbookViewId="0">
      <selection activeCell="C11" sqref="C11"/>
    </sheetView>
  </sheetViews>
  <sheetFormatPr baseColWidth="10" defaultColWidth="9.140625" defaultRowHeight="15" x14ac:dyDescent="0.25"/>
  <cols>
    <col min="2" max="2" width="10.5703125" customWidth="1"/>
    <col min="3" max="3" width="11.7109375" bestFit="1" customWidth="1"/>
    <col min="4" max="7" width="11.5703125" customWidth="1"/>
  </cols>
  <sheetData>
    <row r="2" spans="2:10" x14ac:dyDescent="0.25">
      <c r="B2" t="s">
        <v>135</v>
      </c>
    </row>
    <row r="3" spans="2:10" x14ac:dyDescent="0.25">
      <c r="B3" t="s">
        <v>138</v>
      </c>
      <c r="C3" t="s">
        <v>137</v>
      </c>
      <c r="D3" t="s">
        <v>136</v>
      </c>
    </row>
    <row r="5" spans="2:10" x14ac:dyDescent="0.25">
      <c r="B5" t="s">
        <v>139</v>
      </c>
    </row>
    <row r="6" spans="2:10" x14ac:dyDescent="0.25">
      <c r="B6" t="s">
        <v>140</v>
      </c>
      <c r="D6" t="s">
        <v>141</v>
      </c>
    </row>
    <row r="7" spans="2:10" x14ac:dyDescent="0.25">
      <c r="B7" t="s">
        <v>142</v>
      </c>
      <c r="C7" t="str">
        <f>HEX2BIN(B7,8)</f>
        <v>11110000</v>
      </c>
      <c r="D7" s="58" t="str">
        <f>LEFT(RIGHT(C7,1),1)</f>
        <v>0</v>
      </c>
      <c r="E7" s="58" t="str">
        <f>LEFT(RIGHT(C7,2),1)</f>
        <v>0</v>
      </c>
      <c r="F7" s="58" t="str">
        <f>LEFT(RIGHT(C7,3),1)</f>
        <v>0</v>
      </c>
      <c r="G7" s="58" t="str">
        <f>LEFT(RIGHT(C7,5),1)</f>
        <v>1</v>
      </c>
      <c r="H7" t="b">
        <f>AND(OR(D7=1,E7=1),NOT(AND(D7=1,E7=1)))</f>
        <v>0</v>
      </c>
      <c r="I7" s="57" t="b">
        <f>AND(OR(F7=1,H7),NOT(AND(F7=1,H7)))</f>
        <v>0</v>
      </c>
      <c r="J7" t="b">
        <f>AND(OR(G7=1,I7),NOT(AND(G7=1,I7)))</f>
        <v>0</v>
      </c>
    </row>
    <row r="8" spans="2:10" x14ac:dyDescent="0.25">
      <c r="C8" t="e">
        <f ca="1">numb(1)</f>
        <v>#NAME?</v>
      </c>
    </row>
    <row r="9" spans="2:10" x14ac:dyDescent="0.25">
      <c r="C9" t="e">
        <f ca="1">ID_withParityBits(11)</f>
        <v>#NAME?</v>
      </c>
    </row>
    <row r="11" spans="2:10" x14ac:dyDescent="0.25">
      <c r="C11" t="e">
        <f ca="1">shr(23,1)</f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Cover</vt:lpstr>
      <vt:lpstr>Nodes</vt:lpstr>
      <vt:lpstr>Msg Definitions</vt:lpstr>
      <vt:lpstr>Signal_types</vt:lpstr>
      <vt:lpstr>Signals</vt:lpstr>
      <vt:lpstr>Scheduling Tbl</vt:lpstr>
      <vt:lpstr>Setup</vt:lpstr>
      <vt:lpstr>Utilities</vt:lpstr>
    </vt:vector>
  </TitlesOfParts>
  <Company>Continental AG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uidw7826</dc:creator>
  <cp:lastModifiedBy>Edgar Escayola</cp:lastModifiedBy>
  <dcterms:created xsi:type="dcterms:W3CDTF">2013-09-13T00:48:28Z</dcterms:created>
  <dcterms:modified xsi:type="dcterms:W3CDTF">2015-11-25T22:43:29Z</dcterms:modified>
</cp:coreProperties>
</file>